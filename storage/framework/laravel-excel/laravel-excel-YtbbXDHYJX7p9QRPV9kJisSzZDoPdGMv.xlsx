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rnando.januar\Downloads\"/>
    </mc:Choice>
  </mc:AlternateContent>
  <bookViews>
    <workbookView xWindow="0" yWindow="0" windowWidth="20490" windowHeight="70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36" i="1" l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35" i="1"/>
  <c r="P27" i="1"/>
  <c r="P28" i="1"/>
  <c r="P29" i="1"/>
  <c r="P30" i="1"/>
  <c r="P31" i="1"/>
  <c r="P32" i="1"/>
  <c r="P33" i="1"/>
  <c r="P34" i="1"/>
  <c r="P26" i="1"/>
  <c r="S65" i="1"/>
  <c r="S64" i="1"/>
  <c r="S63" i="1"/>
  <c r="S62" i="1"/>
  <c r="S61" i="1"/>
  <c r="S60" i="1"/>
  <c r="S59" i="1"/>
  <c r="S58" i="1"/>
  <c r="S57" i="1"/>
  <c r="S56" i="1"/>
  <c r="S55" i="1"/>
  <c r="S54" i="1"/>
  <c r="S53" i="1"/>
  <c r="S52" i="1"/>
  <c r="S51" i="1"/>
  <c r="S50" i="1"/>
  <c r="S49" i="1"/>
  <c r="S48" i="1"/>
  <c r="S47" i="1"/>
  <c r="S46" i="1"/>
  <c r="S45" i="1"/>
  <c r="S44" i="1"/>
  <c r="S43" i="1"/>
  <c r="S42" i="1"/>
  <c r="S41" i="1"/>
  <c r="S40" i="1"/>
  <c r="S39" i="1"/>
  <c r="S38" i="1"/>
  <c r="S37" i="1"/>
  <c r="S36" i="1"/>
  <c r="S35" i="1"/>
  <c r="S34" i="1"/>
  <c r="S33" i="1"/>
  <c r="S32" i="1"/>
  <c r="S31" i="1"/>
  <c r="S30" i="1"/>
  <c r="S29" i="1"/>
  <c r="S28" i="1"/>
  <c r="S27" i="1"/>
  <c r="S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26" i="1"/>
</calcChain>
</file>

<file path=xl/sharedStrings.xml><?xml version="1.0" encoding="utf-8"?>
<sst xmlns="http://schemas.openxmlformats.org/spreadsheetml/2006/main" count="259" uniqueCount="47">
  <si>
    <t>sa_giro_temp</t>
  </si>
  <si>
    <t>sa_tab_temp</t>
  </si>
  <si>
    <t>sa_dep_temp</t>
  </si>
  <si>
    <t>sa_pin_temp</t>
  </si>
  <si>
    <t>sa_pinkre_temp</t>
  </si>
  <si>
    <t>sa_pin_temp_2</t>
  </si>
  <si>
    <t>jangka_waktu_temp</t>
  </si>
  <si>
    <t>irr_temp</t>
  </si>
  <si>
    <t>suku_bunga</t>
  </si>
  <si>
    <t>provisi</t>
  </si>
  <si>
    <t>nama</t>
  </si>
  <si>
    <t>status_nasabah</t>
  </si>
  <si>
    <t>kewarganegaraan</t>
  </si>
  <si>
    <t>kota_ktp</t>
  </si>
  <si>
    <t>INDONESIA</t>
  </si>
  <si>
    <t>SURABAYA</t>
  </si>
  <si>
    <t>01</t>
  </si>
  <si>
    <t>kode_nasabah</t>
  </si>
  <si>
    <t>PT. KARUNIA MOTOR</t>
  </si>
  <si>
    <t>PT. CITRA LESTARI ESTATE</t>
  </si>
  <si>
    <t>ELLEN THERESIA SIHOTANG</t>
  </si>
  <si>
    <t>EVI SISTIYARINI</t>
  </si>
  <si>
    <t>ROHMAD FUAD ARMANSYAH</t>
  </si>
  <si>
    <t>NANANG SHONHADJI</t>
  </si>
  <si>
    <t>NAWIRAH</t>
  </si>
  <si>
    <t>ONNI ARGOYONO</t>
  </si>
  <si>
    <t>RIRIN POERWANTI</t>
  </si>
  <si>
    <t>ACHMAD SAIFUL ULUM</t>
  </si>
  <si>
    <t>DYAH PUJI RAHAYU</t>
  </si>
  <si>
    <t>EDI JOELIANTO</t>
  </si>
  <si>
    <t>HERIZON CHANIAGO</t>
  </si>
  <si>
    <t>SE SUPRIYONO</t>
  </si>
  <si>
    <t>ALI SOEBIJANTO</t>
  </si>
  <si>
    <t>HARIADI YUTANTO</t>
  </si>
  <si>
    <t>ARIEF SUHARMADI</t>
  </si>
  <si>
    <t>ANGGRAENI</t>
  </si>
  <si>
    <t>EMANUEL KRISTIJADI</t>
  </si>
  <si>
    <t>CHITRA LAKSMI RITHMAYA</t>
  </si>
  <si>
    <t>WAHYU TRIWIDAYAT</t>
  </si>
  <si>
    <t>00</t>
  </si>
  <si>
    <t>HERWIN ARDIANTO</t>
  </si>
  <si>
    <t>username</t>
  </si>
  <si>
    <t>password_mbanking</t>
  </si>
  <si>
    <t>pin_mbanking</t>
  </si>
  <si>
    <t>nama_panggilan</t>
  </si>
  <si>
    <t>SUMANTRI</t>
  </si>
  <si>
    <t>YUSUF EFFENDI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</si>
</sst>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quotePrefix="1" applyNumberFormat="1"/>
    <xf numFmtId="4" fontId="0" fillId="0" borderId="0" xfId="0" applyNumberFormat="1"/>
    <xf numFmtId="0" fontId="0" fillId="0" borderId="0" xfId="0" quotePrefix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5"/>
  <sheetViews>
    <sheetView tabSelected="1" topLeftCell="A14" zoomScale="85" zoomScaleNormal="85" workbookViewId="0">
      <selection activeCell="A26" sqref="A26"/>
    </sheetView>
  </sheetViews>
  <sheetFormatPr defaultRowHeight="15" x14ac:dyDescent="0.25"/>
  <cols>
    <col min="2" max="2" width="14.7109375" bestFit="1" customWidth="1"/>
    <col min="3" max="3" width="13.28515625" bestFit="1" customWidth="1"/>
    <col min="4" max="4" width="12.7109375" bestFit="1" customWidth="1"/>
    <col min="5" max="5" width="13.28515625" bestFit="1" customWidth="1"/>
    <col min="6" max="6" width="12.7109375" bestFit="1" customWidth="1"/>
    <col min="7" max="7" width="15.5703125" bestFit="1" customWidth="1"/>
    <col min="8" max="8" width="14.7109375" bestFit="1" customWidth="1"/>
    <col min="9" max="9" width="19.140625" bestFit="1" customWidth="1"/>
    <col min="10" max="10" width="8.7109375" bestFit="1" customWidth="1"/>
    <col min="11" max="11" width="11.5703125" bestFit="1" customWidth="1"/>
    <col min="12" max="12" width="7" bestFit="1" customWidth="1"/>
    <col min="13" max="13" width="32" customWidth="1"/>
    <col min="14" max="14" width="15.5703125" bestFit="1" customWidth="1"/>
    <col min="15" max="15" width="9.7109375" bestFit="1" customWidth="1"/>
    <col min="16" max="16" width="9.85546875" bestFit="1" customWidth="1"/>
  </cols>
  <sheetData>
    <row r="1" spans="1:19" x14ac:dyDescent="0.25">
      <c r="A1" t="s">
        <v>17</v>
      </c>
      <c r="B1" t="s">
        <v>11</v>
      </c>
      <c r="C1" s="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12</v>
      </c>
      <c r="O1" t="s">
        <v>13</v>
      </c>
      <c r="P1" t="s">
        <v>41</v>
      </c>
      <c r="Q1" t="s">
        <v>42</v>
      </c>
      <c r="R1" t="s">
        <v>43</v>
      </c>
      <c r="S1" t="s">
        <v>44</v>
      </c>
    </row>
    <row r="2" spans="1:19" x14ac:dyDescent="0.25">
      <c r="A2" s="3" t="s">
        <v>16</v>
      </c>
      <c r="B2">
        <v>2</v>
      </c>
      <c r="C2" s="2">
        <v>50000000</v>
      </c>
      <c r="D2" s="2">
        <v>10000000</v>
      </c>
      <c r="E2" s="2">
        <v>10000000</v>
      </c>
      <c r="F2" s="2">
        <v>50000000</v>
      </c>
      <c r="G2" s="2">
        <v>5000000</v>
      </c>
      <c r="H2" s="2">
        <v>100000000</v>
      </c>
      <c r="I2">
        <v>36</v>
      </c>
      <c r="J2">
        <v>2.3580000000000001</v>
      </c>
      <c r="K2">
        <v>15</v>
      </c>
      <c r="L2">
        <v>3</v>
      </c>
      <c r="M2" t="s">
        <v>18</v>
      </c>
      <c r="N2" t="s">
        <v>14</v>
      </c>
      <c r="O2" t="s">
        <v>15</v>
      </c>
      <c r="P2">
        <v>36000001</v>
      </c>
      <c r="Q2">
        <v>12345</v>
      </c>
      <c r="R2">
        <v>12345</v>
      </c>
      <c r="S2" t="s">
        <v>18</v>
      </c>
    </row>
    <row r="3" spans="1:19" x14ac:dyDescent="0.25">
      <c r="A3" s="3" t="s">
        <v>16</v>
      </c>
      <c r="B3">
        <v>2</v>
      </c>
      <c r="C3" s="2">
        <v>50000000</v>
      </c>
      <c r="D3" s="2">
        <v>10000000</v>
      </c>
      <c r="E3" s="2">
        <v>10000000</v>
      </c>
      <c r="F3" s="2">
        <v>50000000</v>
      </c>
      <c r="G3" s="2">
        <v>5000000</v>
      </c>
      <c r="H3" s="2">
        <v>100000000</v>
      </c>
      <c r="I3">
        <v>36</v>
      </c>
      <c r="J3">
        <v>2.3580000000000001</v>
      </c>
      <c r="K3">
        <v>15</v>
      </c>
      <c r="L3">
        <v>3</v>
      </c>
      <c r="M3" t="s">
        <v>19</v>
      </c>
      <c r="N3" t="s">
        <v>14</v>
      </c>
      <c r="O3" t="s">
        <v>15</v>
      </c>
      <c r="P3">
        <v>36000002</v>
      </c>
      <c r="Q3">
        <v>12345</v>
      </c>
      <c r="R3">
        <v>12345</v>
      </c>
      <c r="S3" t="s">
        <v>19</v>
      </c>
    </row>
    <row r="4" spans="1:19" x14ac:dyDescent="0.25">
      <c r="A4" s="3" t="s">
        <v>39</v>
      </c>
      <c r="B4">
        <v>1</v>
      </c>
      <c r="C4" s="2">
        <v>50000000</v>
      </c>
      <c r="D4" s="2">
        <v>10000000</v>
      </c>
      <c r="E4" s="2">
        <v>10000000</v>
      </c>
      <c r="F4" s="2">
        <v>50000000</v>
      </c>
      <c r="G4" s="2">
        <v>5000000</v>
      </c>
      <c r="H4" s="2">
        <v>100000000</v>
      </c>
      <c r="I4">
        <v>36</v>
      </c>
      <c r="J4">
        <v>2.3580000000000001</v>
      </c>
      <c r="K4">
        <v>15</v>
      </c>
      <c r="L4">
        <v>3</v>
      </c>
      <c r="M4" t="s">
        <v>20</v>
      </c>
      <c r="N4" t="s">
        <v>14</v>
      </c>
      <c r="O4" t="s">
        <v>15</v>
      </c>
      <c r="P4">
        <v>36170556</v>
      </c>
      <c r="Q4">
        <v>12345</v>
      </c>
      <c r="R4">
        <v>12345</v>
      </c>
      <c r="S4" t="s">
        <v>20</v>
      </c>
    </row>
    <row r="5" spans="1:19" x14ac:dyDescent="0.25">
      <c r="A5" s="3" t="s">
        <v>39</v>
      </c>
      <c r="B5">
        <v>1</v>
      </c>
      <c r="C5" s="2">
        <v>50000000</v>
      </c>
      <c r="D5" s="2">
        <v>10000000</v>
      </c>
      <c r="E5" s="2">
        <v>10000000</v>
      </c>
      <c r="F5" s="2">
        <v>50000000</v>
      </c>
      <c r="G5" s="2">
        <v>5000000</v>
      </c>
      <c r="H5" s="2">
        <v>100000000</v>
      </c>
      <c r="I5">
        <v>36</v>
      </c>
      <c r="J5">
        <v>2.3580000000000001</v>
      </c>
      <c r="K5">
        <v>15</v>
      </c>
      <c r="L5">
        <v>3</v>
      </c>
      <c r="M5" t="s">
        <v>21</v>
      </c>
      <c r="N5" t="s">
        <v>14</v>
      </c>
      <c r="O5" t="s">
        <v>15</v>
      </c>
      <c r="P5">
        <v>36140426</v>
      </c>
      <c r="Q5">
        <v>12345</v>
      </c>
      <c r="R5">
        <v>12345</v>
      </c>
      <c r="S5" t="s">
        <v>21</v>
      </c>
    </row>
    <row r="6" spans="1:19" x14ac:dyDescent="0.25">
      <c r="A6" s="3" t="s">
        <v>39</v>
      </c>
      <c r="B6">
        <v>1</v>
      </c>
      <c r="C6" s="2">
        <v>50000000</v>
      </c>
      <c r="D6" s="2">
        <v>10000000</v>
      </c>
      <c r="E6" s="2">
        <v>10000000</v>
      </c>
      <c r="F6" s="2">
        <v>50000000</v>
      </c>
      <c r="G6" s="2">
        <v>5000000</v>
      </c>
      <c r="H6" s="2">
        <v>100000000</v>
      </c>
      <c r="I6">
        <v>36</v>
      </c>
      <c r="J6">
        <v>2.3580000000000001</v>
      </c>
      <c r="K6">
        <v>15</v>
      </c>
      <c r="L6">
        <v>3</v>
      </c>
      <c r="M6" t="s">
        <v>22</v>
      </c>
      <c r="N6" t="s">
        <v>14</v>
      </c>
      <c r="O6" t="s">
        <v>15</v>
      </c>
      <c r="P6">
        <v>36140428</v>
      </c>
      <c r="Q6">
        <v>12345</v>
      </c>
      <c r="R6">
        <v>12345</v>
      </c>
      <c r="S6" t="s">
        <v>22</v>
      </c>
    </row>
    <row r="7" spans="1:19" x14ac:dyDescent="0.25">
      <c r="A7" s="3" t="s">
        <v>39</v>
      </c>
      <c r="B7">
        <v>1</v>
      </c>
      <c r="C7" s="2">
        <v>50000000</v>
      </c>
      <c r="D7" s="2">
        <v>10000000</v>
      </c>
      <c r="E7" s="2">
        <v>10000000</v>
      </c>
      <c r="F7" s="2">
        <v>50000000</v>
      </c>
      <c r="G7" s="2">
        <v>5000000</v>
      </c>
      <c r="H7" s="2">
        <v>100000000</v>
      </c>
      <c r="I7">
        <v>36</v>
      </c>
      <c r="J7">
        <v>2.3580000000000001</v>
      </c>
      <c r="K7">
        <v>15</v>
      </c>
      <c r="L7">
        <v>3</v>
      </c>
      <c r="M7" t="s">
        <v>23</v>
      </c>
      <c r="N7" t="s">
        <v>14</v>
      </c>
      <c r="O7" t="s">
        <v>15</v>
      </c>
      <c r="P7">
        <v>36040222</v>
      </c>
      <c r="Q7">
        <v>12345</v>
      </c>
      <c r="R7">
        <v>12345</v>
      </c>
      <c r="S7" t="s">
        <v>23</v>
      </c>
    </row>
    <row r="8" spans="1:19" x14ac:dyDescent="0.25">
      <c r="A8" s="3" t="s">
        <v>39</v>
      </c>
      <c r="B8">
        <v>1</v>
      </c>
      <c r="C8" s="2">
        <v>50000000</v>
      </c>
      <c r="D8" s="2">
        <v>10000000</v>
      </c>
      <c r="E8" s="2">
        <v>10000000</v>
      </c>
      <c r="F8" s="2">
        <v>50000000</v>
      </c>
      <c r="G8" s="2">
        <v>5000000</v>
      </c>
      <c r="H8" s="2">
        <v>100000000</v>
      </c>
      <c r="I8">
        <v>36</v>
      </c>
      <c r="J8">
        <v>2.3580000000000001</v>
      </c>
      <c r="K8">
        <v>15</v>
      </c>
      <c r="L8">
        <v>3</v>
      </c>
      <c r="M8" t="s">
        <v>24</v>
      </c>
      <c r="N8" t="s">
        <v>14</v>
      </c>
      <c r="O8" t="s">
        <v>15</v>
      </c>
      <c r="P8">
        <v>34060115</v>
      </c>
      <c r="Q8">
        <v>12345</v>
      </c>
      <c r="R8">
        <v>12345</v>
      </c>
      <c r="S8" t="s">
        <v>24</v>
      </c>
    </row>
    <row r="9" spans="1:19" x14ac:dyDescent="0.25">
      <c r="A9" s="3" t="s">
        <v>39</v>
      </c>
      <c r="B9">
        <v>1</v>
      </c>
      <c r="C9" s="2">
        <v>50000000</v>
      </c>
      <c r="D9" s="2">
        <v>10000000</v>
      </c>
      <c r="E9" s="2">
        <v>10000000</v>
      </c>
      <c r="F9" s="2">
        <v>50000000</v>
      </c>
      <c r="G9" s="2">
        <v>5000000</v>
      </c>
      <c r="H9" s="2">
        <v>100000000</v>
      </c>
      <c r="I9">
        <v>36</v>
      </c>
      <c r="J9">
        <v>2.3580000000000001</v>
      </c>
      <c r="K9">
        <v>15</v>
      </c>
      <c r="L9">
        <v>3</v>
      </c>
      <c r="M9" t="s">
        <v>25</v>
      </c>
      <c r="N9" t="s">
        <v>14</v>
      </c>
      <c r="O9" t="s">
        <v>15</v>
      </c>
      <c r="P9">
        <v>34110316</v>
      </c>
      <c r="Q9">
        <v>12345</v>
      </c>
      <c r="R9">
        <v>12345</v>
      </c>
      <c r="S9" t="s">
        <v>25</v>
      </c>
    </row>
    <row r="10" spans="1:19" x14ac:dyDescent="0.25">
      <c r="A10" s="3" t="s">
        <v>39</v>
      </c>
      <c r="B10">
        <v>1</v>
      </c>
      <c r="C10" s="2">
        <v>50000000</v>
      </c>
      <c r="D10" s="2">
        <v>10000000</v>
      </c>
      <c r="E10" s="2">
        <v>10000000</v>
      </c>
      <c r="F10" s="2">
        <v>50000000</v>
      </c>
      <c r="G10" s="2">
        <v>5000000</v>
      </c>
      <c r="H10" s="2">
        <v>100000000</v>
      </c>
      <c r="I10">
        <v>36</v>
      </c>
      <c r="J10">
        <v>2.3580000000000001</v>
      </c>
      <c r="K10">
        <v>15</v>
      </c>
      <c r="L10">
        <v>3</v>
      </c>
      <c r="M10" t="s">
        <v>26</v>
      </c>
      <c r="N10" t="s">
        <v>14</v>
      </c>
      <c r="O10" t="s">
        <v>15</v>
      </c>
      <c r="P10">
        <v>36140147</v>
      </c>
      <c r="Q10">
        <v>12345</v>
      </c>
      <c r="R10">
        <v>12345</v>
      </c>
      <c r="S10" t="s">
        <v>26</v>
      </c>
    </row>
    <row r="11" spans="1:19" x14ac:dyDescent="0.25">
      <c r="A11" s="3" t="s">
        <v>39</v>
      </c>
      <c r="B11">
        <v>1</v>
      </c>
      <c r="C11" s="2">
        <v>50000000</v>
      </c>
      <c r="D11" s="2">
        <v>10000000</v>
      </c>
      <c r="E11" s="2">
        <v>10000000</v>
      </c>
      <c r="F11" s="2">
        <v>50000000</v>
      </c>
      <c r="G11" s="2">
        <v>5000000</v>
      </c>
      <c r="H11" s="2">
        <v>100000000</v>
      </c>
      <c r="I11">
        <v>36</v>
      </c>
      <c r="J11">
        <v>2.3580000000000001</v>
      </c>
      <c r="K11">
        <v>15</v>
      </c>
      <c r="L11">
        <v>3</v>
      </c>
      <c r="M11" t="s">
        <v>27</v>
      </c>
      <c r="N11" t="s">
        <v>14</v>
      </c>
      <c r="O11" t="s">
        <v>15</v>
      </c>
      <c r="P11">
        <v>36160554</v>
      </c>
      <c r="Q11">
        <v>12345</v>
      </c>
      <c r="R11">
        <v>12345</v>
      </c>
      <c r="S11" t="s">
        <v>27</v>
      </c>
    </row>
    <row r="12" spans="1:19" x14ac:dyDescent="0.25">
      <c r="A12" s="3" t="s">
        <v>39</v>
      </c>
      <c r="B12">
        <v>1</v>
      </c>
      <c r="C12" s="2">
        <v>50000000</v>
      </c>
      <c r="D12" s="2">
        <v>10000000</v>
      </c>
      <c r="E12" s="2">
        <v>10000000</v>
      </c>
      <c r="F12" s="2">
        <v>50000000</v>
      </c>
      <c r="G12" s="2">
        <v>5000000</v>
      </c>
      <c r="H12" s="2">
        <v>100000000</v>
      </c>
      <c r="I12">
        <v>36</v>
      </c>
      <c r="J12">
        <v>2.3580000000000001</v>
      </c>
      <c r="K12">
        <v>15</v>
      </c>
      <c r="L12">
        <v>3</v>
      </c>
      <c r="M12" t="s">
        <v>28</v>
      </c>
      <c r="N12" t="s">
        <v>14</v>
      </c>
      <c r="O12" t="s">
        <v>15</v>
      </c>
      <c r="P12">
        <v>34100154</v>
      </c>
      <c r="Q12">
        <v>12345</v>
      </c>
      <c r="R12">
        <v>12345</v>
      </c>
      <c r="S12" t="s">
        <v>28</v>
      </c>
    </row>
    <row r="13" spans="1:19" x14ac:dyDescent="0.25">
      <c r="A13" s="3" t="s">
        <v>39</v>
      </c>
      <c r="B13">
        <v>1</v>
      </c>
      <c r="C13" s="2">
        <v>50000000</v>
      </c>
      <c r="D13" s="2">
        <v>10000000</v>
      </c>
      <c r="E13" s="2">
        <v>10000000</v>
      </c>
      <c r="F13" s="2">
        <v>50000000</v>
      </c>
      <c r="G13" s="2">
        <v>5000000</v>
      </c>
      <c r="H13" s="2">
        <v>100000000</v>
      </c>
      <c r="I13">
        <v>36</v>
      </c>
      <c r="J13">
        <v>2.3580000000000001</v>
      </c>
      <c r="K13">
        <v>15</v>
      </c>
      <c r="L13">
        <v>3</v>
      </c>
      <c r="M13" t="s">
        <v>29</v>
      </c>
      <c r="N13" t="s">
        <v>14</v>
      </c>
      <c r="O13" t="s">
        <v>15</v>
      </c>
      <c r="P13">
        <v>34020041</v>
      </c>
      <c r="Q13">
        <v>12345</v>
      </c>
      <c r="R13">
        <v>12345</v>
      </c>
      <c r="S13" t="s">
        <v>29</v>
      </c>
    </row>
    <row r="14" spans="1:19" x14ac:dyDescent="0.25">
      <c r="A14" s="3" t="s">
        <v>39</v>
      </c>
      <c r="B14">
        <v>1</v>
      </c>
      <c r="C14" s="2">
        <v>50000000</v>
      </c>
      <c r="D14" s="2">
        <v>10000000</v>
      </c>
      <c r="E14" s="2">
        <v>10000000</v>
      </c>
      <c r="F14" s="2">
        <v>50000000</v>
      </c>
      <c r="G14" s="2">
        <v>5000000</v>
      </c>
      <c r="H14" s="2">
        <v>100000000</v>
      </c>
      <c r="I14">
        <v>36</v>
      </c>
      <c r="J14">
        <v>2.3580000000000001</v>
      </c>
      <c r="K14">
        <v>15</v>
      </c>
      <c r="L14">
        <v>3</v>
      </c>
      <c r="M14" t="s">
        <v>30</v>
      </c>
      <c r="N14" t="s">
        <v>14</v>
      </c>
      <c r="O14" t="s">
        <v>15</v>
      </c>
      <c r="P14">
        <v>36930118</v>
      </c>
      <c r="Q14">
        <v>12345</v>
      </c>
      <c r="R14">
        <v>12345</v>
      </c>
      <c r="S14" t="s">
        <v>30</v>
      </c>
    </row>
    <row r="15" spans="1:19" x14ac:dyDescent="0.25">
      <c r="A15" s="3" t="s">
        <v>39</v>
      </c>
      <c r="B15">
        <v>1</v>
      </c>
      <c r="C15" s="2">
        <v>50000000</v>
      </c>
      <c r="D15" s="2">
        <v>10000000</v>
      </c>
      <c r="E15" s="2">
        <v>10000000</v>
      </c>
      <c r="F15" s="2">
        <v>50000000</v>
      </c>
      <c r="G15" s="2">
        <v>5000000</v>
      </c>
      <c r="H15" s="2">
        <v>100000000</v>
      </c>
      <c r="I15">
        <v>36</v>
      </c>
      <c r="J15">
        <v>2.3580000000000001</v>
      </c>
      <c r="K15">
        <v>15</v>
      </c>
      <c r="L15">
        <v>3</v>
      </c>
      <c r="M15" t="s">
        <v>31</v>
      </c>
      <c r="N15" t="s">
        <v>14</v>
      </c>
      <c r="O15" t="s">
        <v>15</v>
      </c>
      <c r="P15">
        <v>36030208</v>
      </c>
      <c r="Q15">
        <v>12345</v>
      </c>
      <c r="R15">
        <v>12345</v>
      </c>
      <c r="S15" t="s">
        <v>31</v>
      </c>
    </row>
    <row r="16" spans="1:19" x14ac:dyDescent="0.25">
      <c r="A16" s="3" t="s">
        <v>39</v>
      </c>
      <c r="B16">
        <v>1</v>
      </c>
      <c r="C16" s="2">
        <v>50000000</v>
      </c>
      <c r="D16" s="2">
        <v>10000000</v>
      </c>
      <c r="E16" s="2">
        <v>10000000</v>
      </c>
      <c r="F16" s="2">
        <v>50000000</v>
      </c>
      <c r="G16" s="2">
        <v>5000000</v>
      </c>
      <c r="H16" s="2">
        <v>100000000</v>
      </c>
      <c r="I16">
        <v>36</v>
      </c>
      <c r="J16">
        <v>2.3580000000000001</v>
      </c>
      <c r="K16">
        <v>15</v>
      </c>
      <c r="L16">
        <v>3</v>
      </c>
      <c r="M16" t="s">
        <v>32</v>
      </c>
      <c r="N16" t="s">
        <v>14</v>
      </c>
      <c r="O16" t="s">
        <v>15</v>
      </c>
      <c r="P16">
        <v>36140235</v>
      </c>
      <c r="Q16">
        <v>12345</v>
      </c>
      <c r="R16">
        <v>12345</v>
      </c>
      <c r="S16" t="s">
        <v>32</v>
      </c>
    </row>
    <row r="17" spans="1:19" x14ac:dyDescent="0.25">
      <c r="A17" s="3" t="s">
        <v>39</v>
      </c>
      <c r="B17">
        <v>1</v>
      </c>
      <c r="C17" s="2">
        <v>50000000</v>
      </c>
      <c r="D17" s="2">
        <v>10000000</v>
      </c>
      <c r="E17" s="2">
        <v>10000000</v>
      </c>
      <c r="F17" s="2">
        <v>50000000</v>
      </c>
      <c r="G17" s="2">
        <v>5000000</v>
      </c>
      <c r="H17" s="2">
        <v>100000000</v>
      </c>
      <c r="I17">
        <v>36</v>
      </c>
      <c r="J17">
        <v>2.3580000000000001</v>
      </c>
      <c r="K17">
        <v>15</v>
      </c>
      <c r="L17">
        <v>3</v>
      </c>
      <c r="M17" t="s">
        <v>33</v>
      </c>
      <c r="N17" t="s">
        <v>14</v>
      </c>
      <c r="O17" t="s">
        <v>15</v>
      </c>
      <c r="P17">
        <v>36140242</v>
      </c>
      <c r="Q17">
        <v>12345</v>
      </c>
      <c r="R17">
        <v>12345</v>
      </c>
      <c r="S17" t="s">
        <v>33</v>
      </c>
    </row>
    <row r="18" spans="1:19" x14ac:dyDescent="0.25">
      <c r="A18" s="3" t="s">
        <v>39</v>
      </c>
      <c r="B18">
        <v>1</v>
      </c>
      <c r="C18" s="2">
        <v>50000000</v>
      </c>
      <c r="D18" s="2">
        <v>10000000</v>
      </c>
      <c r="E18" s="2">
        <v>10000000</v>
      </c>
      <c r="F18" s="2">
        <v>50000000</v>
      </c>
      <c r="G18" s="2">
        <v>5000000</v>
      </c>
      <c r="H18" s="2">
        <v>100000000</v>
      </c>
      <c r="I18">
        <v>36</v>
      </c>
      <c r="J18">
        <v>2.3580000000000001</v>
      </c>
      <c r="K18">
        <v>15</v>
      </c>
      <c r="L18">
        <v>3</v>
      </c>
      <c r="M18" t="s">
        <v>34</v>
      </c>
      <c r="N18" t="s">
        <v>14</v>
      </c>
      <c r="O18" t="s">
        <v>15</v>
      </c>
      <c r="P18">
        <v>36160052</v>
      </c>
      <c r="Q18">
        <v>12345</v>
      </c>
      <c r="R18">
        <v>12345</v>
      </c>
      <c r="S18" t="s">
        <v>34</v>
      </c>
    </row>
    <row r="19" spans="1:19" x14ac:dyDescent="0.25">
      <c r="A19" s="3" t="s">
        <v>39</v>
      </c>
      <c r="B19">
        <v>1</v>
      </c>
      <c r="C19" s="2">
        <v>50000000</v>
      </c>
      <c r="D19" s="2">
        <v>10000000</v>
      </c>
      <c r="E19" s="2">
        <v>10000000</v>
      </c>
      <c r="F19" s="2">
        <v>50000000</v>
      </c>
      <c r="G19" s="2">
        <v>5000000</v>
      </c>
      <c r="H19" s="2">
        <v>100000000</v>
      </c>
      <c r="I19">
        <v>36</v>
      </c>
      <c r="J19">
        <v>2.3580000000000001</v>
      </c>
      <c r="K19">
        <v>15</v>
      </c>
      <c r="L19">
        <v>3</v>
      </c>
      <c r="M19" t="s">
        <v>35</v>
      </c>
      <c r="N19" t="s">
        <v>14</v>
      </c>
      <c r="O19" t="s">
        <v>15</v>
      </c>
      <c r="P19">
        <v>36040223</v>
      </c>
      <c r="Q19">
        <v>12345</v>
      </c>
      <c r="R19">
        <v>12345</v>
      </c>
      <c r="S19" t="s">
        <v>35</v>
      </c>
    </row>
    <row r="20" spans="1:19" x14ac:dyDescent="0.25">
      <c r="A20" s="3" t="s">
        <v>39</v>
      </c>
      <c r="B20">
        <v>1</v>
      </c>
      <c r="C20" s="2">
        <v>50000000</v>
      </c>
      <c r="D20" s="2">
        <v>10000000</v>
      </c>
      <c r="E20" s="2">
        <v>10000000</v>
      </c>
      <c r="F20" s="2">
        <v>50000000</v>
      </c>
      <c r="G20" s="2">
        <v>5000000</v>
      </c>
      <c r="H20" s="2">
        <v>100000000</v>
      </c>
      <c r="I20">
        <v>36</v>
      </c>
      <c r="J20">
        <v>2.3580000000000001</v>
      </c>
      <c r="K20">
        <v>15</v>
      </c>
      <c r="L20">
        <v>3</v>
      </c>
      <c r="M20" t="s">
        <v>36</v>
      </c>
      <c r="N20" t="s">
        <v>14</v>
      </c>
      <c r="O20" t="s">
        <v>15</v>
      </c>
      <c r="P20">
        <v>36890074</v>
      </c>
      <c r="Q20">
        <v>12345</v>
      </c>
      <c r="R20">
        <v>12345</v>
      </c>
      <c r="S20" t="s">
        <v>36</v>
      </c>
    </row>
    <row r="21" spans="1:19" x14ac:dyDescent="0.25">
      <c r="A21" s="3" t="s">
        <v>39</v>
      </c>
      <c r="B21">
        <v>1</v>
      </c>
      <c r="C21" s="2">
        <v>50000000</v>
      </c>
      <c r="D21" s="2">
        <v>10000000</v>
      </c>
      <c r="E21" s="2">
        <v>10000000</v>
      </c>
      <c r="F21" s="2">
        <v>50000000</v>
      </c>
      <c r="G21" s="2">
        <v>5000000</v>
      </c>
      <c r="H21" s="2">
        <v>100000000</v>
      </c>
      <c r="I21">
        <v>36</v>
      </c>
      <c r="J21">
        <v>2.3580000000000001</v>
      </c>
      <c r="K21">
        <v>15</v>
      </c>
      <c r="L21">
        <v>3</v>
      </c>
      <c r="M21" t="s">
        <v>37</v>
      </c>
      <c r="N21" t="s">
        <v>14</v>
      </c>
      <c r="O21" t="s">
        <v>15</v>
      </c>
      <c r="P21">
        <v>36150116</v>
      </c>
      <c r="Q21">
        <v>12345</v>
      </c>
      <c r="R21">
        <v>12345</v>
      </c>
      <c r="S21" t="s">
        <v>37</v>
      </c>
    </row>
    <row r="22" spans="1:19" x14ac:dyDescent="0.25">
      <c r="A22" s="3" t="s">
        <v>39</v>
      </c>
      <c r="B22">
        <v>1</v>
      </c>
      <c r="C22" s="2">
        <v>50000000</v>
      </c>
      <c r="D22" s="2">
        <v>10000000</v>
      </c>
      <c r="E22" s="2">
        <v>10000000</v>
      </c>
      <c r="F22" s="2">
        <v>50000000</v>
      </c>
      <c r="G22" s="2">
        <v>5000000</v>
      </c>
      <c r="H22" s="2">
        <v>100000000</v>
      </c>
      <c r="I22">
        <v>36</v>
      </c>
      <c r="J22">
        <v>2.3580000000000001</v>
      </c>
      <c r="K22">
        <v>15</v>
      </c>
      <c r="L22">
        <v>3</v>
      </c>
      <c r="M22" t="s">
        <v>38</v>
      </c>
      <c r="N22" t="s">
        <v>14</v>
      </c>
      <c r="O22" t="s">
        <v>15</v>
      </c>
      <c r="P22">
        <v>34040076</v>
      </c>
      <c r="Q22">
        <v>12345</v>
      </c>
      <c r="R22">
        <v>12345</v>
      </c>
      <c r="S22" t="s">
        <v>38</v>
      </c>
    </row>
    <row r="23" spans="1:19" x14ac:dyDescent="0.25">
      <c r="A23" s="3" t="s">
        <v>39</v>
      </c>
      <c r="B23">
        <v>1</v>
      </c>
      <c r="C23" s="2">
        <v>50000000</v>
      </c>
      <c r="D23" s="2">
        <v>10000000</v>
      </c>
      <c r="E23" s="2">
        <v>10000000</v>
      </c>
      <c r="F23" s="2">
        <v>50000000</v>
      </c>
      <c r="G23" s="2">
        <v>5000000</v>
      </c>
      <c r="H23" s="2">
        <v>100000000</v>
      </c>
      <c r="I23">
        <v>36</v>
      </c>
      <c r="J23">
        <v>2.3580000000000001</v>
      </c>
      <c r="K23">
        <v>15</v>
      </c>
      <c r="L23">
        <v>3</v>
      </c>
      <c r="M23" t="s">
        <v>40</v>
      </c>
      <c r="N23" t="s">
        <v>14</v>
      </c>
      <c r="O23" t="s">
        <v>15</v>
      </c>
      <c r="P23">
        <v>36220799</v>
      </c>
      <c r="Q23">
        <v>12345</v>
      </c>
      <c r="R23">
        <v>12345</v>
      </c>
      <c r="S23" t="s">
        <v>40</v>
      </c>
    </row>
    <row r="24" spans="1:19" x14ac:dyDescent="0.25">
      <c r="A24" s="3" t="s">
        <v>39</v>
      </c>
      <c r="B24">
        <v>1</v>
      </c>
      <c r="C24" s="2">
        <v>50000000</v>
      </c>
      <c r="D24" s="2">
        <v>10000000</v>
      </c>
      <c r="E24" s="2">
        <v>10000000</v>
      </c>
      <c r="F24" s="2">
        <v>50000000</v>
      </c>
      <c r="G24" s="2">
        <v>5000000</v>
      </c>
      <c r="H24" s="2">
        <v>100000000</v>
      </c>
      <c r="I24">
        <v>36</v>
      </c>
      <c r="J24">
        <v>2.3580000000000001</v>
      </c>
      <c r="K24">
        <v>15</v>
      </c>
      <c r="L24">
        <v>3</v>
      </c>
      <c r="M24" t="s">
        <v>45</v>
      </c>
      <c r="N24" t="s">
        <v>14</v>
      </c>
      <c r="O24" t="s">
        <v>15</v>
      </c>
      <c r="P24">
        <v>36170652</v>
      </c>
      <c r="Q24">
        <v>12345</v>
      </c>
      <c r="R24">
        <v>12345</v>
      </c>
      <c r="S24" t="s">
        <v>45</v>
      </c>
    </row>
    <row r="25" spans="1:19" x14ac:dyDescent="0.25">
      <c r="A25" s="3" t="s">
        <v>39</v>
      </c>
      <c r="B25">
        <v>1</v>
      </c>
      <c r="C25" s="2">
        <v>50000000</v>
      </c>
      <c r="D25" s="2">
        <v>10000000</v>
      </c>
      <c r="E25" s="2">
        <v>10000000</v>
      </c>
      <c r="F25" s="2">
        <v>50000000</v>
      </c>
      <c r="G25" s="2">
        <v>5000000</v>
      </c>
      <c r="H25" s="2">
        <v>100000000</v>
      </c>
      <c r="I25">
        <v>36</v>
      </c>
      <c r="J25">
        <v>2.3580000000000001</v>
      </c>
      <c r="K25">
        <v>15</v>
      </c>
      <c r="L25">
        <v>3</v>
      </c>
      <c r="M25" t="s">
        <v>46</v>
      </c>
      <c r="N25" t="s">
        <v>14</v>
      </c>
      <c r="O25" t="s">
        <v>15</v>
      </c>
      <c r="P25">
        <v>36120268</v>
      </c>
      <c r="Q25">
        <v>12345</v>
      </c>
      <c r="R25">
        <v>12345</v>
      </c>
      <c r="S25" t="s">
        <v>46</v>
      </c>
    </row>
    <row r="26" spans="1:19" x14ac:dyDescent="0.25">
      <c r="A26" s="3" t="s">
        <v>39</v>
      </c>
      <c r="B26">
        <v>1</v>
      </c>
      <c r="C26" s="2">
        <v>50000000</v>
      </c>
      <c r="D26" s="2">
        <v>10000000</v>
      </c>
      <c r="E26" s="2">
        <v>10000000</v>
      </c>
      <c r="F26" s="2">
        <v>50000000</v>
      </c>
      <c r="G26" s="2">
        <v>5000000</v>
      </c>
      <c r="H26" s="2">
        <v>100000000</v>
      </c>
      <c r="I26">
        <v>36</v>
      </c>
      <c r="J26">
        <v>2.3580000000000001</v>
      </c>
      <c r="K26">
        <v>15</v>
      </c>
      <c r="L26">
        <v>3</v>
      </c>
      <c r="M26" t="str">
        <f>"NASABAH " &amp; (ROW()-25) &amp; " SMKN 1 PROBOLINGGO"</f>
        <v>NASABAH 1 SMKN 1 PROBOLINGGO</v>
      </c>
      <c r="N26" t="s">
        <v>14</v>
      </c>
      <c r="O26" t="s">
        <v>15</v>
      </c>
      <c r="P26" s="4" t="str">
        <f>"3600000" &amp; (ROW()-25)</f>
        <v>36000001</v>
      </c>
      <c r="Q26">
        <v>12345</v>
      </c>
      <c r="R26">
        <v>12345</v>
      </c>
      <c r="S26" t="str">
        <f>"NASABAH " &amp; (ROW()-25) &amp; " SMKN 1 PROBOLINGGO"</f>
        <v>NASABAH 1 SMKN 1 PROBOLINGGO</v>
      </c>
    </row>
    <row r="27" spans="1:19" x14ac:dyDescent="0.25">
      <c r="A27" s="3" t="s">
        <v>39</v>
      </c>
      <c r="B27">
        <v>1</v>
      </c>
      <c r="C27" s="2">
        <v>50000000</v>
      </c>
      <c r="D27" s="2">
        <v>10000000</v>
      </c>
      <c r="E27" s="2">
        <v>10000000</v>
      </c>
      <c r="F27" s="2">
        <v>50000000</v>
      </c>
      <c r="G27" s="2">
        <v>5000000</v>
      </c>
      <c r="H27" s="2">
        <v>100000000</v>
      </c>
      <c r="I27">
        <v>36</v>
      </c>
      <c r="J27">
        <v>2.3580000000000001</v>
      </c>
      <c r="K27">
        <v>15</v>
      </c>
      <c r="L27">
        <v>3</v>
      </c>
      <c r="M27" t="str">
        <f t="shared" ref="M27:M65" si="0">"NASABAH " &amp; (ROW()-25) &amp; " SMKN 1 PROBOLINGGO"</f>
        <v>NASABAH 2 SMKN 1 PROBOLINGGO</v>
      </c>
      <c r="N27" t="s">
        <v>14</v>
      </c>
      <c r="O27" t="s">
        <v>15</v>
      </c>
      <c r="P27" s="4" t="str">
        <f t="shared" ref="P27:P65" si="1">"3600000" &amp; (ROW()-25)</f>
        <v>36000002</v>
      </c>
      <c r="Q27">
        <v>12345</v>
      </c>
      <c r="R27">
        <v>12345</v>
      </c>
      <c r="S27" t="str">
        <f t="shared" ref="S27:S65" si="2">"NASABAH " &amp; (ROW()-25) &amp; " SMKN 1 PROBOLINGGO"</f>
        <v>NASABAH 2 SMKN 1 PROBOLINGGO</v>
      </c>
    </row>
    <row r="28" spans="1:19" x14ac:dyDescent="0.25">
      <c r="A28" s="3" t="s">
        <v>39</v>
      </c>
      <c r="B28">
        <v>1</v>
      </c>
      <c r="C28" s="2">
        <v>50000000</v>
      </c>
      <c r="D28" s="2">
        <v>10000000</v>
      </c>
      <c r="E28" s="2">
        <v>10000000</v>
      </c>
      <c r="F28" s="2">
        <v>50000000</v>
      </c>
      <c r="G28" s="2">
        <v>5000000</v>
      </c>
      <c r="H28" s="2">
        <v>100000000</v>
      </c>
      <c r="I28">
        <v>36</v>
      </c>
      <c r="J28">
        <v>2.3580000000000001</v>
      </c>
      <c r="K28">
        <v>15</v>
      </c>
      <c r="L28">
        <v>3</v>
      </c>
      <c r="M28" t="str">
        <f t="shared" si="0"/>
        <v>NASABAH 3 SMKN 1 PROBOLINGGO</v>
      </c>
      <c r="N28" t="s">
        <v>14</v>
      </c>
      <c r="O28" t="s">
        <v>15</v>
      </c>
      <c r="P28" s="4" t="str">
        <f t="shared" si="1"/>
        <v>36000003</v>
      </c>
      <c r="Q28">
        <v>12345</v>
      </c>
      <c r="R28">
        <v>12345</v>
      </c>
      <c r="S28" t="str">
        <f t="shared" si="2"/>
        <v>NASABAH 3 SMKN 1 PROBOLINGGO</v>
      </c>
    </row>
    <row r="29" spans="1:19" x14ac:dyDescent="0.25">
      <c r="A29" s="3" t="s">
        <v>39</v>
      </c>
      <c r="B29">
        <v>1</v>
      </c>
      <c r="C29" s="2">
        <v>50000000</v>
      </c>
      <c r="D29" s="2">
        <v>10000000</v>
      </c>
      <c r="E29" s="2">
        <v>10000000</v>
      </c>
      <c r="F29" s="2">
        <v>50000000</v>
      </c>
      <c r="G29" s="2">
        <v>5000000</v>
      </c>
      <c r="H29" s="2">
        <v>100000000</v>
      </c>
      <c r="I29">
        <v>36</v>
      </c>
      <c r="J29">
        <v>2.3580000000000001</v>
      </c>
      <c r="K29">
        <v>15</v>
      </c>
      <c r="L29">
        <v>3</v>
      </c>
      <c r="M29" t="str">
        <f t="shared" si="0"/>
        <v>NASABAH 4 SMKN 1 PROBOLINGGO</v>
      </c>
      <c r="N29" t="s">
        <v>14</v>
      </c>
      <c r="O29" t="s">
        <v>15</v>
      </c>
      <c r="P29" s="4" t="str">
        <f t="shared" si="1"/>
        <v>36000004</v>
      </c>
      <c r="Q29">
        <v>12345</v>
      </c>
      <c r="R29">
        <v>12345</v>
      </c>
      <c r="S29" t="str">
        <f t="shared" si="2"/>
        <v>NASABAH 4 SMKN 1 PROBOLINGGO</v>
      </c>
    </row>
    <row r="30" spans="1:19" x14ac:dyDescent="0.25">
      <c r="A30" s="3" t="s">
        <v>39</v>
      </c>
      <c r="B30">
        <v>1</v>
      </c>
      <c r="C30" s="2">
        <v>50000000</v>
      </c>
      <c r="D30" s="2">
        <v>10000000</v>
      </c>
      <c r="E30" s="2">
        <v>10000000</v>
      </c>
      <c r="F30" s="2">
        <v>50000000</v>
      </c>
      <c r="G30" s="2">
        <v>5000000</v>
      </c>
      <c r="H30" s="2">
        <v>100000000</v>
      </c>
      <c r="I30">
        <v>36</v>
      </c>
      <c r="J30">
        <v>2.3580000000000001</v>
      </c>
      <c r="K30">
        <v>15</v>
      </c>
      <c r="L30">
        <v>3</v>
      </c>
      <c r="M30" t="str">
        <f t="shared" si="0"/>
        <v>NASABAH 5 SMKN 1 PROBOLINGGO</v>
      </c>
      <c r="N30" t="s">
        <v>14</v>
      </c>
      <c r="O30" t="s">
        <v>15</v>
      </c>
      <c r="P30" s="4" t="str">
        <f t="shared" si="1"/>
        <v>36000005</v>
      </c>
      <c r="Q30">
        <v>12345</v>
      </c>
      <c r="R30">
        <v>12345</v>
      </c>
      <c r="S30" t="str">
        <f t="shared" si="2"/>
        <v>NASABAH 5 SMKN 1 PROBOLINGGO</v>
      </c>
    </row>
    <row r="31" spans="1:19" x14ac:dyDescent="0.25">
      <c r="A31" s="3" t="s">
        <v>39</v>
      </c>
      <c r="B31">
        <v>1</v>
      </c>
      <c r="C31" s="2">
        <v>50000000</v>
      </c>
      <c r="D31" s="2">
        <v>10000000</v>
      </c>
      <c r="E31" s="2">
        <v>10000000</v>
      </c>
      <c r="F31" s="2">
        <v>50000000</v>
      </c>
      <c r="G31" s="2">
        <v>5000000</v>
      </c>
      <c r="H31" s="2">
        <v>100000000</v>
      </c>
      <c r="I31">
        <v>36</v>
      </c>
      <c r="J31">
        <v>2.3580000000000001</v>
      </c>
      <c r="K31">
        <v>15</v>
      </c>
      <c r="L31">
        <v>3</v>
      </c>
      <c r="M31" t="str">
        <f t="shared" si="0"/>
        <v>NASABAH 6 SMKN 1 PROBOLINGGO</v>
      </c>
      <c r="N31" t="s">
        <v>14</v>
      </c>
      <c r="O31" t="s">
        <v>15</v>
      </c>
      <c r="P31" s="4" t="str">
        <f t="shared" si="1"/>
        <v>36000006</v>
      </c>
      <c r="Q31">
        <v>12345</v>
      </c>
      <c r="R31">
        <v>12345</v>
      </c>
      <c r="S31" t="str">
        <f t="shared" si="2"/>
        <v>NASABAH 6 SMKN 1 PROBOLINGGO</v>
      </c>
    </row>
    <row r="32" spans="1:19" x14ac:dyDescent="0.25">
      <c r="A32" s="3" t="s">
        <v>39</v>
      </c>
      <c r="B32">
        <v>1</v>
      </c>
      <c r="C32" s="2">
        <v>50000000</v>
      </c>
      <c r="D32" s="2">
        <v>10000000</v>
      </c>
      <c r="E32" s="2">
        <v>10000000</v>
      </c>
      <c r="F32" s="2">
        <v>50000000</v>
      </c>
      <c r="G32" s="2">
        <v>5000000</v>
      </c>
      <c r="H32" s="2">
        <v>100000000</v>
      </c>
      <c r="I32">
        <v>36</v>
      </c>
      <c r="J32">
        <v>2.3580000000000001</v>
      </c>
      <c r="K32">
        <v>15</v>
      </c>
      <c r="L32">
        <v>3</v>
      </c>
      <c r="M32" t="str">
        <f t="shared" si="0"/>
        <v>NASABAH 7 SMKN 1 PROBOLINGGO</v>
      </c>
      <c r="N32" t="s">
        <v>14</v>
      </c>
      <c r="O32" t="s">
        <v>15</v>
      </c>
      <c r="P32" s="4" t="str">
        <f t="shared" si="1"/>
        <v>36000007</v>
      </c>
      <c r="Q32">
        <v>12345</v>
      </c>
      <c r="R32">
        <v>12345</v>
      </c>
      <c r="S32" t="str">
        <f t="shared" si="2"/>
        <v>NASABAH 7 SMKN 1 PROBOLINGGO</v>
      </c>
    </row>
    <row r="33" spans="1:19" x14ac:dyDescent="0.25">
      <c r="A33" s="3" t="s">
        <v>39</v>
      </c>
      <c r="B33">
        <v>1</v>
      </c>
      <c r="C33" s="2">
        <v>50000000</v>
      </c>
      <c r="D33" s="2">
        <v>10000000</v>
      </c>
      <c r="E33" s="2">
        <v>10000000</v>
      </c>
      <c r="F33" s="2">
        <v>50000000</v>
      </c>
      <c r="G33" s="2">
        <v>5000000</v>
      </c>
      <c r="H33" s="2">
        <v>100000000</v>
      </c>
      <c r="I33">
        <v>36</v>
      </c>
      <c r="J33">
        <v>2.3580000000000001</v>
      </c>
      <c r="K33">
        <v>15</v>
      </c>
      <c r="L33">
        <v>3</v>
      </c>
      <c r="M33" t="str">
        <f t="shared" si="0"/>
        <v>NASABAH 8 SMKN 1 PROBOLINGGO</v>
      </c>
      <c r="N33" t="s">
        <v>14</v>
      </c>
      <c r="O33" t="s">
        <v>15</v>
      </c>
      <c r="P33" s="4" t="str">
        <f t="shared" si="1"/>
        <v>36000008</v>
      </c>
      <c r="Q33">
        <v>12345</v>
      </c>
      <c r="R33">
        <v>12345</v>
      </c>
      <c r="S33" t="str">
        <f t="shared" si="2"/>
        <v>NASABAH 8 SMKN 1 PROBOLINGGO</v>
      </c>
    </row>
    <row r="34" spans="1:19" x14ac:dyDescent="0.25">
      <c r="A34" s="3" t="s">
        <v>39</v>
      </c>
      <c r="B34">
        <v>1</v>
      </c>
      <c r="C34" s="2">
        <v>50000000</v>
      </c>
      <c r="D34" s="2">
        <v>10000000</v>
      </c>
      <c r="E34" s="2">
        <v>10000000</v>
      </c>
      <c r="F34" s="2">
        <v>50000000</v>
      </c>
      <c r="G34" s="2">
        <v>5000000</v>
      </c>
      <c r="H34" s="2">
        <v>100000000</v>
      </c>
      <c r="I34">
        <v>36</v>
      </c>
      <c r="J34">
        <v>2.3580000000000001</v>
      </c>
      <c r="K34">
        <v>15</v>
      </c>
      <c r="L34">
        <v>3</v>
      </c>
      <c r="M34" t="str">
        <f t="shared" si="0"/>
        <v>NASABAH 9 SMKN 1 PROBOLINGGO</v>
      </c>
      <c r="N34" t="s">
        <v>14</v>
      </c>
      <c r="O34" t="s">
        <v>15</v>
      </c>
      <c r="P34" s="4" t="str">
        <f t="shared" si="1"/>
        <v>36000009</v>
      </c>
      <c r="Q34">
        <v>12345</v>
      </c>
      <c r="R34">
        <v>12345</v>
      </c>
      <c r="S34" t="str">
        <f t="shared" si="2"/>
        <v>NASABAH 9 SMKN 1 PROBOLINGGO</v>
      </c>
    </row>
    <row r="35" spans="1:19" x14ac:dyDescent="0.25">
      <c r="A35" s="3" t="s">
        <v>39</v>
      </c>
      <c r="B35">
        <v>1</v>
      </c>
      <c r="C35" s="2">
        <v>50000000</v>
      </c>
      <c r="D35" s="2">
        <v>10000000</v>
      </c>
      <c r="E35" s="2">
        <v>10000000</v>
      </c>
      <c r="F35" s="2">
        <v>50000000</v>
      </c>
      <c r="G35" s="2">
        <v>5000000</v>
      </c>
      <c r="H35" s="2">
        <v>100000000</v>
      </c>
      <c r="I35">
        <v>36</v>
      </c>
      <c r="J35">
        <v>2.3580000000000001</v>
      </c>
      <c r="K35">
        <v>15</v>
      </c>
      <c r="L35">
        <v>3</v>
      </c>
      <c r="M35" t="str">
        <f t="shared" si="0"/>
        <v>NASABAH 10 SMKN 1 PROBOLINGGO</v>
      </c>
      <c r="N35" t="s">
        <v>14</v>
      </c>
      <c r="O35" t="s">
        <v>15</v>
      </c>
      <c r="P35" s="4" t="str">
        <f>"360000" &amp; (ROW()-25)</f>
        <v>36000010</v>
      </c>
      <c r="Q35">
        <v>12345</v>
      </c>
      <c r="R35">
        <v>12345</v>
      </c>
      <c r="S35" t="str">
        <f t="shared" si="2"/>
        <v>NASABAH 10 SMKN 1 PROBOLINGGO</v>
      </c>
    </row>
    <row r="36" spans="1:19" x14ac:dyDescent="0.25">
      <c r="A36" s="3" t="s">
        <v>39</v>
      </c>
      <c r="B36">
        <v>1</v>
      </c>
      <c r="C36" s="2">
        <v>50000000</v>
      </c>
      <c r="D36" s="2">
        <v>10000000</v>
      </c>
      <c r="E36" s="2">
        <v>10000000</v>
      </c>
      <c r="F36" s="2">
        <v>50000000</v>
      </c>
      <c r="G36" s="2">
        <v>5000000</v>
      </c>
      <c r="H36" s="2">
        <v>100000000</v>
      </c>
      <c r="I36">
        <v>36</v>
      </c>
      <c r="J36">
        <v>2.3580000000000001</v>
      </c>
      <c r="K36">
        <v>15</v>
      </c>
      <c r="L36">
        <v>3</v>
      </c>
      <c r="M36" t="str">
        <f t="shared" si="0"/>
        <v>NASABAH 11 SMKN 1 PROBOLINGGO</v>
      </c>
      <c r="N36" t="s">
        <v>14</v>
      </c>
      <c r="O36" t="s">
        <v>15</v>
      </c>
      <c r="P36" s="4" t="str">
        <f t="shared" ref="P36:P65" si="3">"360000" &amp; (ROW()-25)</f>
        <v>36000011</v>
      </c>
      <c r="Q36">
        <v>12345</v>
      </c>
      <c r="R36">
        <v>12345</v>
      </c>
      <c r="S36" t="str">
        <f t="shared" si="2"/>
        <v>NASABAH 11 SMKN 1 PROBOLINGGO</v>
      </c>
    </row>
    <row r="37" spans="1:19" x14ac:dyDescent="0.25">
      <c r="A37" s="3" t="s">
        <v>39</v>
      </c>
      <c r="B37">
        <v>1</v>
      </c>
      <c r="C37" s="2">
        <v>50000000</v>
      </c>
      <c r="D37" s="2">
        <v>10000000</v>
      </c>
      <c r="E37" s="2">
        <v>10000000</v>
      </c>
      <c r="F37" s="2">
        <v>50000000</v>
      </c>
      <c r="G37" s="2">
        <v>5000000</v>
      </c>
      <c r="H37" s="2">
        <v>100000000</v>
      </c>
      <c r="I37">
        <v>36</v>
      </c>
      <c r="J37">
        <v>2.3580000000000001</v>
      </c>
      <c r="K37">
        <v>15</v>
      </c>
      <c r="L37">
        <v>3</v>
      </c>
      <c r="M37" t="str">
        <f t="shared" si="0"/>
        <v>NASABAH 12 SMKN 1 PROBOLINGGO</v>
      </c>
      <c r="N37" t="s">
        <v>14</v>
      </c>
      <c r="O37" t="s">
        <v>15</v>
      </c>
      <c r="P37" s="4" t="str">
        <f t="shared" si="3"/>
        <v>36000012</v>
      </c>
      <c r="Q37">
        <v>12345</v>
      </c>
      <c r="R37">
        <v>12345</v>
      </c>
      <c r="S37" t="str">
        <f t="shared" si="2"/>
        <v>NASABAH 12 SMKN 1 PROBOLINGGO</v>
      </c>
    </row>
    <row r="38" spans="1:19" x14ac:dyDescent="0.25">
      <c r="A38" s="3" t="s">
        <v>39</v>
      </c>
      <c r="B38">
        <v>1</v>
      </c>
      <c r="C38" s="2">
        <v>50000000</v>
      </c>
      <c r="D38" s="2">
        <v>10000000</v>
      </c>
      <c r="E38" s="2">
        <v>10000000</v>
      </c>
      <c r="F38" s="2">
        <v>50000000</v>
      </c>
      <c r="G38" s="2">
        <v>5000000</v>
      </c>
      <c r="H38" s="2">
        <v>100000000</v>
      </c>
      <c r="I38">
        <v>36</v>
      </c>
      <c r="J38">
        <v>2.3580000000000001</v>
      </c>
      <c r="K38">
        <v>15</v>
      </c>
      <c r="L38">
        <v>3</v>
      </c>
      <c r="M38" t="str">
        <f t="shared" si="0"/>
        <v>NASABAH 13 SMKN 1 PROBOLINGGO</v>
      </c>
      <c r="N38" t="s">
        <v>14</v>
      </c>
      <c r="O38" t="s">
        <v>15</v>
      </c>
      <c r="P38" s="4" t="str">
        <f t="shared" si="3"/>
        <v>36000013</v>
      </c>
      <c r="Q38">
        <v>12345</v>
      </c>
      <c r="R38">
        <v>12345</v>
      </c>
      <c r="S38" t="str">
        <f t="shared" si="2"/>
        <v>NASABAH 13 SMKN 1 PROBOLINGGO</v>
      </c>
    </row>
    <row r="39" spans="1:19" x14ac:dyDescent="0.25">
      <c r="A39" s="3" t="s">
        <v>39</v>
      </c>
      <c r="B39">
        <v>1</v>
      </c>
      <c r="C39" s="2">
        <v>50000000</v>
      </c>
      <c r="D39" s="2">
        <v>10000000</v>
      </c>
      <c r="E39" s="2">
        <v>10000000</v>
      </c>
      <c r="F39" s="2">
        <v>50000000</v>
      </c>
      <c r="G39" s="2">
        <v>5000000</v>
      </c>
      <c r="H39" s="2">
        <v>100000000</v>
      </c>
      <c r="I39">
        <v>36</v>
      </c>
      <c r="J39">
        <v>2.3580000000000001</v>
      </c>
      <c r="K39">
        <v>15</v>
      </c>
      <c r="L39">
        <v>3</v>
      </c>
      <c r="M39" t="str">
        <f t="shared" si="0"/>
        <v>NASABAH 14 SMKN 1 PROBOLINGGO</v>
      </c>
      <c r="N39" t="s">
        <v>14</v>
      </c>
      <c r="O39" t="s">
        <v>15</v>
      </c>
      <c r="P39" s="4" t="str">
        <f t="shared" si="3"/>
        <v>36000014</v>
      </c>
      <c r="Q39">
        <v>12345</v>
      </c>
      <c r="R39">
        <v>12345</v>
      </c>
      <c r="S39" t="str">
        <f t="shared" si="2"/>
        <v>NASABAH 14 SMKN 1 PROBOLINGGO</v>
      </c>
    </row>
    <row r="40" spans="1:19" x14ac:dyDescent="0.25">
      <c r="A40" s="3" t="s">
        <v>39</v>
      </c>
      <c r="B40">
        <v>1</v>
      </c>
      <c r="C40" s="2">
        <v>50000000</v>
      </c>
      <c r="D40" s="2">
        <v>10000000</v>
      </c>
      <c r="E40" s="2">
        <v>10000000</v>
      </c>
      <c r="F40" s="2">
        <v>50000000</v>
      </c>
      <c r="G40" s="2">
        <v>5000000</v>
      </c>
      <c r="H40" s="2">
        <v>100000000</v>
      </c>
      <c r="I40">
        <v>36</v>
      </c>
      <c r="J40">
        <v>2.3580000000000001</v>
      </c>
      <c r="K40">
        <v>15</v>
      </c>
      <c r="L40">
        <v>3</v>
      </c>
      <c r="M40" t="str">
        <f t="shared" si="0"/>
        <v>NASABAH 15 SMKN 1 PROBOLINGGO</v>
      </c>
      <c r="N40" t="s">
        <v>14</v>
      </c>
      <c r="O40" t="s">
        <v>15</v>
      </c>
      <c r="P40" s="4" t="str">
        <f t="shared" si="3"/>
        <v>36000015</v>
      </c>
      <c r="Q40">
        <v>12345</v>
      </c>
      <c r="R40">
        <v>12345</v>
      </c>
      <c r="S40" t="str">
        <f t="shared" si="2"/>
        <v>NASABAH 15 SMKN 1 PROBOLINGGO</v>
      </c>
    </row>
    <row r="41" spans="1:19" x14ac:dyDescent="0.25">
      <c r="A41" s="3" t="s">
        <v>39</v>
      </c>
      <c r="B41">
        <v>1</v>
      </c>
      <c r="C41" s="2">
        <v>50000000</v>
      </c>
      <c r="D41" s="2">
        <v>10000000</v>
      </c>
      <c r="E41" s="2">
        <v>10000000</v>
      </c>
      <c r="F41" s="2">
        <v>50000000</v>
      </c>
      <c r="G41" s="2">
        <v>5000000</v>
      </c>
      <c r="H41" s="2">
        <v>100000000</v>
      </c>
      <c r="I41">
        <v>36</v>
      </c>
      <c r="J41">
        <v>2.3580000000000001</v>
      </c>
      <c r="K41">
        <v>15</v>
      </c>
      <c r="L41">
        <v>3</v>
      </c>
      <c r="M41" t="str">
        <f t="shared" si="0"/>
        <v>NASABAH 16 SMKN 1 PROBOLINGGO</v>
      </c>
      <c r="N41" t="s">
        <v>14</v>
      </c>
      <c r="O41" t="s">
        <v>15</v>
      </c>
      <c r="P41" s="4" t="str">
        <f t="shared" si="3"/>
        <v>36000016</v>
      </c>
      <c r="Q41">
        <v>12345</v>
      </c>
      <c r="R41">
        <v>12345</v>
      </c>
      <c r="S41" t="str">
        <f t="shared" si="2"/>
        <v>NASABAH 16 SMKN 1 PROBOLINGGO</v>
      </c>
    </row>
    <row r="42" spans="1:19" x14ac:dyDescent="0.25">
      <c r="A42" s="3" t="s">
        <v>39</v>
      </c>
      <c r="B42">
        <v>1</v>
      </c>
      <c r="C42" s="2">
        <v>50000000</v>
      </c>
      <c r="D42" s="2">
        <v>10000000</v>
      </c>
      <c r="E42" s="2">
        <v>10000000</v>
      </c>
      <c r="F42" s="2">
        <v>50000000</v>
      </c>
      <c r="G42" s="2">
        <v>5000000</v>
      </c>
      <c r="H42" s="2">
        <v>100000000</v>
      </c>
      <c r="I42">
        <v>36</v>
      </c>
      <c r="J42">
        <v>2.3580000000000001</v>
      </c>
      <c r="K42">
        <v>15</v>
      </c>
      <c r="L42">
        <v>3</v>
      </c>
      <c r="M42" t="str">
        <f t="shared" si="0"/>
        <v>NASABAH 17 SMKN 1 PROBOLINGGO</v>
      </c>
      <c r="N42" t="s">
        <v>14</v>
      </c>
      <c r="O42" t="s">
        <v>15</v>
      </c>
      <c r="P42" s="4" t="str">
        <f t="shared" si="3"/>
        <v>36000017</v>
      </c>
      <c r="Q42">
        <v>12345</v>
      </c>
      <c r="R42">
        <v>12345</v>
      </c>
      <c r="S42" t="str">
        <f t="shared" si="2"/>
        <v>NASABAH 17 SMKN 1 PROBOLINGGO</v>
      </c>
    </row>
    <row r="43" spans="1:19" x14ac:dyDescent="0.25">
      <c r="A43" s="3" t="s">
        <v>39</v>
      </c>
      <c r="B43">
        <v>1</v>
      </c>
      <c r="C43" s="2">
        <v>50000000</v>
      </c>
      <c r="D43" s="2">
        <v>10000000</v>
      </c>
      <c r="E43" s="2">
        <v>10000000</v>
      </c>
      <c r="F43" s="2">
        <v>50000000</v>
      </c>
      <c r="G43" s="2">
        <v>5000000</v>
      </c>
      <c r="H43" s="2">
        <v>100000000</v>
      </c>
      <c r="I43">
        <v>36</v>
      </c>
      <c r="J43">
        <v>2.3580000000000001</v>
      </c>
      <c r="K43">
        <v>15</v>
      </c>
      <c r="L43">
        <v>3</v>
      </c>
      <c r="M43" t="str">
        <f t="shared" si="0"/>
        <v>NASABAH 18 SMKN 1 PROBOLINGGO</v>
      </c>
      <c r="N43" t="s">
        <v>14</v>
      </c>
      <c r="O43" t="s">
        <v>15</v>
      </c>
      <c r="P43" s="4" t="str">
        <f t="shared" si="3"/>
        <v>36000018</v>
      </c>
      <c r="Q43">
        <v>12345</v>
      </c>
      <c r="R43">
        <v>12345</v>
      </c>
      <c r="S43" t="str">
        <f t="shared" si="2"/>
        <v>NASABAH 18 SMKN 1 PROBOLINGGO</v>
      </c>
    </row>
    <row r="44" spans="1:19" x14ac:dyDescent="0.25">
      <c r="A44" s="3" t="s">
        <v>39</v>
      </c>
      <c r="B44">
        <v>1</v>
      </c>
      <c r="C44" s="2">
        <v>50000000</v>
      </c>
      <c r="D44" s="2">
        <v>10000000</v>
      </c>
      <c r="E44" s="2">
        <v>10000000</v>
      </c>
      <c r="F44" s="2">
        <v>50000000</v>
      </c>
      <c r="G44" s="2">
        <v>5000000</v>
      </c>
      <c r="H44" s="2">
        <v>100000000</v>
      </c>
      <c r="I44">
        <v>36</v>
      </c>
      <c r="J44">
        <v>2.3580000000000001</v>
      </c>
      <c r="K44">
        <v>15</v>
      </c>
      <c r="L44">
        <v>3</v>
      </c>
      <c r="M44" t="str">
        <f t="shared" si="0"/>
        <v>NASABAH 19 SMKN 1 PROBOLINGGO</v>
      </c>
      <c r="N44" t="s">
        <v>14</v>
      </c>
      <c r="O44" t="s">
        <v>15</v>
      </c>
      <c r="P44" s="4" t="str">
        <f t="shared" si="3"/>
        <v>36000019</v>
      </c>
      <c r="Q44">
        <v>12345</v>
      </c>
      <c r="R44">
        <v>12345</v>
      </c>
      <c r="S44" t="str">
        <f t="shared" si="2"/>
        <v>NASABAH 19 SMKN 1 PROBOLINGGO</v>
      </c>
    </row>
    <row r="45" spans="1:19" x14ac:dyDescent="0.25">
      <c r="A45" s="3" t="s">
        <v>39</v>
      </c>
      <c r="B45">
        <v>1</v>
      </c>
      <c r="C45" s="2">
        <v>50000000</v>
      </c>
      <c r="D45" s="2">
        <v>10000000</v>
      </c>
      <c r="E45" s="2">
        <v>10000000</v>
      </c>
      <c r="F45" s="2">
        <v>50000000</v>
      </c>
      <c r="G45" s="2">
        <v>5000000</v>
      </c>
      <c r="H45" s="2">
        <v>100000000</v>
      </c>
      <c r="I45">
        <v>36</v>
      </c>
      <c r="J45">
        <v>2.3580000000000001</v>
      </c>
      <c r="K45">
        <v>15</v>
      </c>
      <c r="L45">
        <v>3</v>
      </c>
      <c r="M45" t="str">
        <f t="shared" si="0"/>
        <v>NASABAH 20 SMKN 1 PROBOLINGGO</v>
      </c>
      <c r="N45" t="s">
        <v>14</v>
      </c>
      <c r="O45" t="s">
        <v>15</v>
      </c>
      <c r="P45" s="4" t="str">
        <f t="shared" si="3"/>
        <v>36000020</v>
      </c>
      <c r="Q45">
        <v>12345</v>
      </c>
      <c r="R45">
        <v>12345</v>
      </c>
      <c r="S45" t="str">
        <f t="shared" si="2"/>
        <v>NASABAH 20 SMKN 1 PROBOLINGGO</v>
      </c>
    </row>
    <row r="46" spans="1:19" x14ac:dyDescent="0.25">
      <c r="A46" s="3" t="s">
        <v>39</v>
      </c>
      <c r="B46">
        <v>1</v>
      </c>
      <c r="C46" s="2">
        <v>50000000</v>
      </c>
      <c r="D46" s="2">
        <v>10000000</v>
      </c>
      <c r="E46" s="2">
        <v>10000000</v>
      </c>
      <c r="F46" s="2">
        <v>50000000</v>
      </c>
      <c r="G46" s="2">
        <v>5000000</v>
      </c>
      <c r="H46" s="2">
        <v>100000000</v>
      </c>
      <c r="I46">
        <v>36</v>
      </c>
      <c r="J46">
        <v>2.3580000000000001</v>
      </c>
      <c r="K46">
        <v>15</v>
      </c>
      <c r="L46">
        <v>3</v>
      </c>
      <c r="M46" t="str">
        <f t="shared" si="0"/>
        <v>NASABAH 21 SMKN 1 PROBOLINGGO</v>
      </c>
      <c r="N46" t="s">
        <v>14</v>
      </c>
      <c r="O46" t="s">
        <v>15</v>
      </c>
      <c r="P46" s="4" t="str">
        <f t="shared" si="3"/>
        <v>36000021</v>
      </c>
      <c r="Q46">
        <v>12345</v>
      </c>
      <c r="R46">
        <v>12345</v>
      </c>
      <c r="S46" t="str">
        <f t="shared" si="2"/>
        <v>NASABAH 21 SMKN 1 PROBOLINGGO</v>
      </c>
    </row>
    <row r="47" spans="1:19" x14ac:dyDescent="0.25">
      <c r="A47" s="3" t="s">
        <v>39</v>
      </c>
      <c r="B47">
        <v>1</v>
      </c>
      <c r="C47" s="2">
        <v>50000000</v>
      </c>
      <c r="D47" s="2">
        <v>10000000</v>
      </c>
      <c r="E47" s="2">
        <v>10000000</v>
      </c>
      <c r="F47" s="2">
        <v>50000000</v>
      </c>
      <c r="G47" s="2">
        <v>5000000</v>
      </c>
      <c r="H47" s="2">
        <v>100000000</v>
      </c>
      <c r="I47">
        <v>36</v>
      </c>
      <c r="J47">
        <v>2.3580000000000001</v>
      </c>
      <c r="K47">
        <v>15</v>
      </c>
      <c r="L47">
        <v>3</v>
      </c>
      <c r="M47" t="str">
        <f t="shared" si="0"/>
        <v>NASABAH 22 SMKN 1 PROBOLINGGO</v>
      </c>
      <c r="N47" t="s">
        <v>14</v>
      </c>
      <c r="O47" t="s">
        <v>15</v>
      </c>
      <c r="P47" s="4" t="str">
        <f t="shared" si="3"/>
        <v>36000022</v>
      </c>
      <c r="Q47">
        <v>12345</v>
      </c>
      <c r="R47">
        <v>12345</v>
      </c>
      <c r="S47" t="str">
        <f t="shared" si="2"/>
        <v>NASABAH 22 SMKN 1 PROBOLINGGO</v>
      </c>
    </row>
    <row r="48" spans="1:19" x14ac:dyDescent="0.25">
      <c r="A48" s="3" t="s">
        <v>39</v>
      </c>
      <c r="B48">
        <v>1</v>
      </c>
      <c r="C48" s="2">
        <v>50000000</v>
      </c>
      <c r="D48" s="2">
        <v>10000000</v>
      </c>
      <c r="E48" s="2">
        <v>10000000</v>
      </c>
      <c r="F48" s="2">
        <v>50000000</v>
      </c>
      <c r="G48" s="2">
        <v>5000000</v>
      </c>
      <c r="H48" s="2">
        <v>100000000</v>
      </c>
      <c r="I48">
        <v>36</v>
      </c>
      <c r="J48">
        <v>2.3580000000000001</v>
      </c>
      <c r="K48">
        <v>15</v>
      </c>
      <c r="L48">
        <v>3</v>
      </c>
      <c r="M48" t="str">
        <f t="shared" si="0"/>
        <v>NASABAH 23 SMKN 1 PROBOLINGGO</v>
      </c>
      <c r="N48" t="s">
        <v>14</v>
      </c>
      <c r="O48" t="s">
        <v>15</v>
      </c>
      <c r="P48" s="4" t="str">
        <f t="shared" si="3"/>
        <v>36000023</v>
      </c>
      <c r="Q48">
        <v>12345</v>
      </c>
      <c r="R48">
        <v>12345</v>
      </c>
      <c r="S48" t="str">
        <f t="shared" si="2"/>
        <v>NASABAH 23 SMKN 1 PROBOLINGGO</v>
      </c>
    </row>
    <row r="49" spans="1:19" x14ac:dyDescent="0.25">
      <c r="A49" s="3" t="s">
        <v>39</v>
      </c>
      <c r="B49">
        <v>1</v>
      </c>
      <c r="C49" s="2">
        <v>50000000</v>
      </c>
      <c r="D49" s="2">
        <v>10000000</v>
      </c>
      <c r="E49" s="2">
        <v>10000000</v>
      </c>
      <c r="F49" s="2">
        <v>50000000</v>
      </c>
      <c r="G49" s="2">
        <v>5000000</v>
      </c>
      <c r="H49" s="2">
        <v>100000000</v>
      </c>
      <c r="I49">
        <v>36</v>
      </c>
      <c r="J49">
        <v>2.3580000000000001</v>
      </c>
      <c r="K49">
        <v>15</v>
      </c>
      <c r="L49">
        <v>3</v>
      </c>
      <c r="M49" t="str">
        <f t="shared" si="0"/>
        <v>NASABAH 24 SMKN 1 PROBOLINGGO</v>
      </c>
      <c r="N49" t="s">
        <v>14</v>
      </c>
      <c r="O49" t="s">
        <v>15</v>
      </c>
      <c r="P49" s="4" t="str">
        <f t="shared" si="3"/>
        <v>36000024</v>
      </c>
      <c r="Q49">
        <v>12345</v>
      </c>
      <c r="R49">
        <v>12345</v>
      </c>
      <c r="S49" t="str">
        <f t="shared" si="2"/>
        <v>NASABAH 24 SMKN 1 PROBOLINGGO</v>
      </c>
    </row>
    <row r="50" spans="1:19" x14ac:dyDescent="0.25">
      <c r="A50" s="3" t="s">
        <v>39</v>
      </c>
      <c r="B50">
        <v>1</v>
      </c>
      <c r="C50" s="2">
        <v>50000000</v>
      </c>
      <c r="D50" s="2">
        <v>10000000</v>
      </c>
      <c r="E50" s="2">
        <v>10000000</v>
      </c>
      <c r="F50" s="2">
        <v>50000000</v>
      </c>
      <c r="G50" s="2">
        <v>5000000</v>
      </c>
      <c r="H50" s="2">
        <v>100000000</v>
      </c>
      <c r="I50">
        <v>36</v>
      </c>
      <c r="J50">
        <v>2.3580000000000001</v>
      </c>
      <c r="K50">
        <v>15</v>
      </c>
      <c r="L50">
        <v>3</v>
      </c>
      <c r="M50" t="str">
        <f t="shared" si="0"/>
        <v>NASABAH 25 SMKN 1 PROBOLINGGO</v>
      </c>
      <c r="N50" t="s">
        <v>14</v>
      </c>
      <c r="O50" t="s">
        <v>15</v>
      </c>
      <c r="P50" s="4" t="str">
        <f t="shared" si="3"/>
        <v>36000025</v>
      </c>
      <c r="Q50">
        <v>12345</v>
      </c>
      <c r="R50">
        <v>12345</v>
      </c>
      <c r="S50" t="str">
        <f t="shared" si="2"/>
        <v>NASABAH 25 SMKN 1 PROBOLINGGO</v>
      </c>
    </row>
    <row r="51" spans="1:19" x14ac:dyDescent="0.25">
      <c r="A51" s="3" t="s">
        <v>39</v>
      </c>
      <c r="B51">
        <v>1</v>
      </c>
      <c r="C51" s="2">
        <v>50000000</v>
      </c>
      <c r="D51" s="2">
        <v>10000000</v>
      </c>
      <c r="E51" s="2">
        <v>10000000</v>
      </c>
      <c r="F51" s="2">
        <v>50000000</v>
      </c>
      <c r="G51" s="2">
        <v>5000000</v>
      </c>
      <c r="H51" s="2">
        <v>100000000</v>
      </c>
      <c r="I51">
        <v>36</v>
      </c>
      <c r="J51">
        <v>2.3580000000000001</v>
      </c>
      <c r="K51">
        <v>15</v>
      </c>
      <c r="L51">
        <v>3</v>
      </c>
      <c r="M51" t="str">
        <f t="shared" si="0"/>
        <v>NASABAH 26 SMKN 1 PROBOLINGGO</v>
      </c>
      <c r="N51" t="s">
        <v>14</v>
      </c>
      <c r="O51" t="s">
        <v>15</v>
      </c>
      <c r="P51" s="4" t="str">
        <f t="shared" si="3"/>
        <v>36000026</v>
      </c>
      <c r="Q51">
        <v>12345</v>
      </c>
      <c r="R51">
        <v>12345</v>
      </c>
      <c r="S51" t="str">
        <f t="shared" si="2"/>
        <v>NASABAH 26 SMKN 1 PROBOLINGGO</v>
      </c>
    </row>
    <row r="52" spans="1:19" x14ac:dyDescent="0.25">
      <c r="A52" s="3" t="s">
        <v>39</v>
      </c>
      <c r="B52">
        <v>1</v>
      </c>
      <c r="C52" s="2">
        <v>50000000</v>
      </c>
      <c r="D52" s="2">
        <v>10000000</v>
      </c>
      <c r="E52" s="2">
        <v>10000000</v>
      </c>
      <c r="F52" s="2">
        <v>50000000</v>
      </c>
      <c r="G52" s="2">
        <v>5000000</v>
      </c>
      <c r="H52" s="2">
        <v>100000000</v>
      </c>
      <c r="I52">
        <v>36</v>
      </c>
      <c r="J52">
        <v>2.3580000000000001</v>
      </c>
      <c r="K52">
        <v>15</v>
      </c>
      <c r="L52">
        <v>3</v>
      </c>
      <c r="M52" t="str">
        <f t="shared" si="0"/>
        <v>NASABAH 27 SMKN 1 PROBOLINGGO</v>
      </c>
      <c r="N52" t="s">
        <v>14</v>
      </c>
      <c r="O52" t="s">
        <v>15</v>
      </c>
      <c r="P52" s="4" t="str">
        <f t="shared" si="3"/>
        <v>36000027</v>
      </c>
      <c r="Q52">
        <v>12345</v>
      </c>
      <c r="R52">
        <v>12345</v>
      </c>
      <c r="S52" t="str">
        <f t="shared" si="2"/>
        <v>NASABAH 27 SMKN 1 PROBOLINGGO</v>
      </c>
    </row>
    <row r="53" spans="1:19" x14ac:dyDescent="0.25">
      <c r="A53" s="3" t="s">
        <v>39</v>
      </c>
      <c r="B53">
        <v>1</v>
      </c>
      <c r="C53" s="2">
        <v>50000000</v>
      </c>
      <c r="D53" s="2">
        <v>10000000</v>
      </c>
      <c r="E53" s="2">
        <v>10000000</v>
      </c>
      <c r="F53" s="2">
        <v>50000000</v>
      </c>
      <c r="G53" s="2">
        <v>5000000</v>
      </c>
      <c r="H53" s="2">
        <v>100000000</v>
      </c>
      <c r="I53">
        <v>36</v>
      </c>
      <c r="J53">
        <v>2.3580000000000001</v>
      </c>
      <c r="K53">
        <v>15</v>
      </c>
      <c r="L53">
        <v>3</v>
      </c>
      <c r="M53" t="str">
        <f t="shared" si="0"/>
        <v>NASABAH 28 SMKN 1 PROBOLINGGO</v>
      </c>
      <c r="N53" t="s">
        <v>14</v>
      </c>
      <c r="O53" t="s">
        <v>15</v>
      </c>
      <c r="P53" s="4" t="str">
        <f t="shared" si="3"/>
        <v>36000028</v>
      </c>
      <c r="Q53">
        <v>12345</v>
      </c>
      <c r="R53">
        <v>12345</v>
      </c>
      <c r="S53" t="str">
        <f t="shared" si="2"/>
        <v>NASABAH 28 SMKN 1 PROBOLINGGO</v>
      </c>
    </row>
    <row r="54" spans="1:19" x14ac:dyDescent="0.25">
      <c r="A54" s="3" t="s">
        <v>39</v>
      </c>
      <c r="B54">
        <v>1</v>
      </c>
      <c r="C54" s="2">
        <v>50000000</v>
      </c>
      <c r="D54" s="2">
        <v>10000000</v>
      </c>
      <c r="E54" s="2">
        <v>10000000</v>
      </c>
      <c r="F54" s="2">
        <v>50000000</v>
      </c>
      <c r="G54" s="2">
        <v>5000000</v>
      </c>
      <c r="H54" s="2">
        <v>100000000</v>
      </c>
      <c r="I54">
        <v>36</v>
      </c>
      <c r="J54">
        <v>2.3580000000000001</v>
      </c>
      <c r="K54">
        <v>15</v>
      </c>
      <c r="L54">
        <v>3</v>
      </c>
      <c r="M54" t="str">
        <f t="shared" si="0"/>
        <v>NASABAH 29 SMKN 1 PROBOLINGGO</v>
      </c>
      <c r="N54" t="s">
        <v>14</v>
      </c>
      <c r="O54" t="s">
        <v>15</v>
      </c>
      <c r="P54" s="4" t="str">
        <f t="shared" si="3"/>
        <v>36000029</v>
      </c>
      <c r="Q54">
        <v>12345</v>
      </c>
      <c r="R54">
        <v>12345</v>
      </c>
      <c r="S54" t="str">
        <f t="shared" si="2"/>
        <v>NASABAH 29 SMKN 1 PROBOLINGGO</v>
      </c>
    </row>
    <row r="55" spans="1:19" x14ac:dyDescent="0.25">
      <c r="A55" s="3" t="s">
        <v>39</v>
      </c>
      <c r="B55">
        <v>1</v>
      </c>
      <c r="C55" s="2">
        <v>50000000</v>
      </c>
      <c r="D55" s="2">
        <v>10000000</v>
      </c>
      <c r="E55" s="2">
        <v>10000000</v>
      </c>
      <c r="F55" s="2">
        <v>50000000</v>
      </c>
      <c r="G55" s="2">
        <v>5000000</v>
      </c>
      <c r="H55" s="2">
        <v>100000000</v>
      </c>
      <c r="I55">
        <v>36</v>
      </c>
      <c r="J55">
        <v>2.3580000000000001</v>
      </c>
      <c r="K55">
        <v>15</v>
      </c>
      <c r="L55">
        <v>3</v>
      </c>
      <c r="M55" t="str">
        <f t="shared" si="0"/>
        <v>NASABAH 30 SMKN 1 PROBOLINGGO</v>
      </c>
      <c r="N55" t="s">
        <v>14</v>
      </c>
      <c r="O55" t="s">
        <v>15</v>
      </c>
      <c r="P55" s="4" t="str">
        <f t="shared" si="3"/>
        <v>36000030</v>
      </c>
      <c r="Q55">
        <v>12345</v>
      </c>
      <c r="R55">
        <v>12345</v>
      </c>
      <c r="S55" t="str">
        <f t="shared" si="2"/>
        <v>NASABAH 30 SMKN 1 PROBOLINGGO</v>
      </c>
    </row>
    <row r="56" spans="1:19" x14ac:dyDescent="0.25">
      <c r="A56" s="3" t="s">
        <v>39</v>
      </c>
      <c r="B56">
        <v>1</v>
      </c>
      <c r="C56" s="2">
        <v>50000000</v>
      </c>
      <c r="D56" s="2">
        <v>10000000</v>
      </c>
      <c r="E56" s="2">
        <v>10000000</v>
      </c>
      <c r="F56" s="2">
        <v>50000000</v>
      </c>
      <c r="G56" s="2">
        <v>5000000</v>
      </c>
      <c r="H56" s="2">
        <v>100000000</v>
      </c>
      <c r="I56">
        <v>36</v>
      </c>
      <c r="J56">
        <v>2.3580000000000001</v>
      </c>
      <c r="K56">
        <v>15</v>
      </c>
      <c r="L56">
        <v>3</v>
      </c>
      <c r="M56" t="str">
        <f t="shared" si="0"/>
        <v>NASABAH 31 SMKN 1 PROBOLINGGO</v>
      </c>
      <c r="N56" t="s">
        <v>14</v>
      </c>
      <c r="O56" t="s">
        <v>15</v>
      </c>
      <c r="P56" s="4" t="str">
        <f t="shared" si="3"/>
        <v>36000031</v>
      </c>
      <c r="Q56">
        <v>12345</v>
      </c>
      <c r="R56">
        <v>12345</v>
      </c>
      <c r="S56" t="str">
        <f t="shared" si="2"/>
        <v>NASABAH 31 SMKN 1 PROBOLINGGO</v>
      </c>
    </row>
    <row r="57" spans="1:19" x14ac:dyDescent="0.25">
      <c r="A57" s="3" t="s">
        <v>39</v>
      </c>
      <c r="B57">
        <v>1</v>
      </c>
      <c r="C57" s="2">
        <v>50000000</v>
      </c>
      <c r="D57" s="2">
        <v>10000000</v>
      </c>
      <c r="E57" s="2">
        <v>10000000</v>
      </c>
      <c r="F57" s="2">
        <v>50000000</v>
      </c>
      <c r="G57" s="2">
        <v>5000000</v>
      </c>
      <c r="H57" s="2">
        <v>100000000</v>
      </c>
      <c r="I57">
        <v>36</v>
      </c>
      <c r="J57">
        <v>2.3580000000000001</v>
      </c>
      <c r="K57">
        <v>15</v>
      </c>
      <c r="L57">
        <v>3</v>
      </c>
      <c r="M57" t="str">
        <f t="shared" si="0"/>
        <v>NASABAH 32 SMKN 1 PROBOLINGGO</v>
      </c>
      <c r="N57" t="s">
        <v>14</v>
      </c>
      <c r="O57" t="s">
        <v>15</v>
      </c>
      <c r="P57" s="4" t="str">
        <f t="shared" si="3"/>
        <v>36000032</v>
      </c>
      <c r="Q57">
        <v>12345</v>
      </c>
      <c r="R57">
        <v>12345</v>
      </c>
      <c r="S57" t="str">
        <f t="shared" si="2"/>
        <v>NASABAH 32 SMKN 1 PROBOLINGGO</v>
      </c>
    </row>
    <row r="58" spans="1:19" x14ac:dyDescent="0.25">
      <c r="A58" s="3" t="s">
        <v>39</v>
      </c>
      <c r="B58">
        <v>1</v>
      </c>
      <c r="C58" s="2">
        <v>50000000</v>
      </c>
      <c r="D58" s="2">
        <v>10000000</v>
      </c>
      <c r="E58" s="2">
        <v>10000000</v>
      </c>
      <c r="F58" s="2">
        <v>50000000</v>
      </c>
      <c r="G58" s="2">
        <v>5000000</v>
      </c>
      <c r="H58" s="2">
        <v>100000000</v>
      </c>
      <c r="I58">
        <v>36</v>
      </c>
      <c r="J58">
        <v>2.3580000000000001</v>
      </c>
      <c r="K58">
        <v>15</v>
      </c>
      <c r="L58">
        <v>3</v>
      </c>
      <c r="M58" t="str">
        <f t="shared" si="0"/>
        <v>NASABAH 33 SMKN 1 PROBOLINGGO</v>
      </c>
      <c r="N58" t="s">
        <v>14</v>
      </c>
      <c r="O58" t="s">
        <v>15</v>
      </c>
      <c r="P58" s="4" t="str">
        <f t="shared" si="3"/>
        <v>36000033</v>
      </c>
      <c r="Q58">
        <v>12345</v>
      </c>
      <c r="R58">
        <v>12345</v>
      </c>
      <c r="S58" t="str">
        <f t="shared" si="2"/>
        <v>NASABAH 33 SMKN 1 PROBOLINGGO</v>
      </c>
    </row>
    <row r="59" spans="1:19" x14ac:dyDescent="0.25">
      <c r="A59" s="3" t="s">
        <v>39</v>
      </c>
      <c r="B59">
        <v>1</v>
      </c>
      <c r="C59" s="2">
        <v>50000000</v>
      </c>
      <c r="D59" s="2">
        <v>10000000</v>
      </c>
      <c r="E59" s="2">
        <v>10000000</v>
      </c>
      <c r="F59" s="2">
        <v>50000000</v>
      </c>
      <c r="G59" s="2">
        <v>5000000</v>
      </c>
      <c r="H59" s="2">
        <v>100000000</v>
      </c>
      <c r="I59">
        <v>36</v>
      </c>
      <c r="J59">
        <v>2.3580000000000001</v>
      </c>
      <c r="K59">
        <v>15</v>
      </c>
      <c r="L59">
        <v>3</v>
      </c>
      <c r="M59" t="str">
        <f t="shared" si="0"/>
        <v>NASABAH 34 SMKN 1 PROBOLINGGO</v>
      </c>
      <c r="N59" t="s">
        <v>14</v>
      </c>
      <c r="O59" t="s">
        <v>15</v>
      </c>
      <c r="P59" s="4" t="str">
        <f t="shared" si="3"/>
        <v>36000034</v>
      </c>
      <c r="Q59">
        <v>12345</v>
      </c>
      <c r="R59">
        <v>12345</v>
      </c>
      <c r="S59" t="str">
        <f t="shared" si="2"/>
        <v>NASABAH 34 SMKN 1 PROBOLINGGO</v>
      </c>
    </row>
    <row r="60" spans="1:19" x14ac:dyDescent="0.25">
      <c r="A60" s="3" t="s">
        <v>39</v>
      </c>
      <c r="B60">
        <v>1</v>
      </c>
      <c r="C60" s="2">
        <v>50000000</v>
      </c>
      <c r="D60" s="2">
        <v>10000000</v>
      </c>
      <c r="E60" s="2">
        <v>10000000</v>
      </c>
      <c r="F60" s="2">
        <v>50000000</v>
      </c>
      <c r="G60" s="2">
        <v>5000000</v>
      </c>
      <c r="H60" s="2">
        <v>100000000</v>
      </c>
      <c r="I60">
        <v>36</v>
      </c>
      <c r="J60">
        <v>2.3580000000000001</v>
      </c>
      <c r="K60">
        <v>15</v>
      </c>
      <c r="L60">
        <v>3</v>
      </c>
      <c r="M60" t="str">
        <f t="shared" si="0"/>
        <v>NASABAH 35 SMKN 1 PROBOLINGGO</v>
      </c>
      <c r="N60" t="s">
        <v>14</v>
      </c>
      <c r="O60" t="s">
        <v>15</v>
      </c>
      <c r="P60" s="4" t="str">
        <f t="shared" si="3"/>
        <v>36000035</v>
      </c>
      <c r="Q60">
        <v>12345</v>
      </c>
      <c r="R60">
        <v>12345</v>
      </c>
      <c r="S60" t="str">
        <f t="shared" si="2"/>
        <v>NASABAH 35 SMKN 1 PROBOLINGGO</v>
      </c>
    </row>
    <row r="61" spans="1:19" x14ac:dyDescent="0.25">
      <c r="A61" s="3" t="s">
        <v>39</v>
      </c>
      <c r="B61">
        <v>1</v>
      </c>
      <c r="C61" s="2">
        <v>50000000</v>
      </c>
      <c r="D61" s="2">
        <v>10000000</v>
      </c>
      <c r="E61" s="2">
        <v>10000000</v>
      </c>
      <c r="F61" s="2">
        <v>50000000</v>
      </c>
      <c r="G61" s="2">
        <v>5000000</v>
      </c>
      <c r="H61" s="2">
        <v>100000000</v>
      </c>
      <c r="I61">
        <v>36</v>
      </c>
      <c r="J61">
        <v>2.3580000000000001</v>
      </c>
      <c r="K61">
        <v>15</v>
      </c>
      <c r="L61">
        <v>3</v>
      </c>
      <c r="M61" t="str">
        <f t="shared" si="0"/>
        <v>NASABAH 36 SMKN 1 PROBOLINGGO</v>
      </c>
      <c r="N61" t="s">
        <v>14</v>
      </c>
      <c r="O61" t="s">
        <v>15</v>
      </c>
      <c r="P61" s="4" t="str">
        <f t="shared" si="3"/>
        <v>36000036</v>
      </c>
      <c r="Q61">
        <v>12345</v>
      </c>
      <c r="R61">
        <v>12345</v>
      </c>
      <c r="S61" t="str">
        <f t="shared" si="2"/>
        <v>NASABAH 36 SMKN 1 PROBOLINGGO</v>
      </c>
    </row>
    <row r="62" spans="1:19" x14ac:dyDescent="0.25">
      <c r="A62" s="3" t="s">
        <v>39</v>
      </c>
      <c r="B62">
        <v>1</v>
      </c>
      <c r="C62" s="2">
        <v>50000000</v>
      </c>
      <c r="D62" s="2">
        <v>10000000</v>
      </c>
      <c r="E62" s="2">
        <v>10000000</v>
      </c>
      <c r="F62" s="2">
        <v>50000000</v>
      </c>
      <c r="G62" s="2">
        <v>5000000</v>
      </c>
      <c r="H62" s="2">
        <v>100000000</v>
      </c>
      <c r="I62">
        <v>36</v>
      </c>
      <c r="J62">
        <v>2.3580000000000001</v>
      </c>
      <c r="K62">
        <v>15</v>
      </c>
      <c r="L62">
        <v>3</v>
      </c>
      <c r="M62" t="str">
        <f t="shared" si="0"/>
        <v>NASABAH 37 SMKN 1 PROBOLINGGO</v>
      </c>
      <c r="N62" t="s">
        <v>14</v>
      </c>
      <c r="O62" t="s">
        <v>15</v>
      </c>
      <c r="P62" s="4" t="str">
        <f t="shared" si="3"/>
        <v>36000037</v>
      </c>
      <c r="Q62">
        <v>12345</v>
      </c>
      <c r="R62">
        <v>12345</v>
      </c>
      <c r="S62" t="str">
        <f t="shared" si="2"/>
        <v>NASABAH 37 SMKN 1 PROBOLINGGO</v>
      </c>
    </row>
    <row r="63" spans="1:19" x14ac:dyDescent="0.25">
      <c r="A63" s="3" t="s">
        <v>39</v>
      </c>
      <c r="B63">
        <v>1</v>
      </c>
      <c r="C63" s="2">
        <v>50000000</v>
      </c>
      <c r="D63" s="2">
        <v>10000000</v>
      </c>
      <c r="E63" s="2">
        <v>10000000</v>
      </c>
      <c r="F63" s="2">
        <v>50000000</v>
      </c>
      <c r="G63" s="2">
        <v>5000000</v>
      </c>
      <c r="H63" s="2">
        <v>100000000</v>
      </c>
      <c r="I63">
        <v>36</v>
      </c>
      <c r="J63">
        <v>2.3580000000000001</v>
      </c>
      <c r="K63">
        <v>15</v>
      </c>
      <c r="L63">
        <v>3</v>
      </c>
      <c r="M63" t="str">
        <f t="shared" si="0"/>
        <v>NASABAH 38 SMKN 1 PROBOLINGGO</v>
      </c>
      <c r="N63" t="s">
        <v>14</v>
      </c>
      <c r="O63" t="s">
        <v>15</v>
      </c>
      <c r="P63" s="4" t="str">
        <f t="shared" si="3"/>
        <v>36000038</v>
      </c>
      <c r="Q63">
        <v>12345</v>
      </c>
      <c r="R63">
        <v>12345</v>
      </c>
      <c r="S63" t="str">
        <f t="shared" si="2"/>
        <v>NASABAH 38 SMKN 1 PROBOLINGGO</v>
      </c>
    </row>
    <row r="64" spans="1:19" x14ac:dyDescent="0.25">
      <c r="A64" s="3" t="s">
        <v>39</v>
      </c>
      <c r="B64">
        <v>1</v>
      </c>
      <c r="C64" s="2">
        <v>50000000</v>
      </c>
      <c r="D64" s="2">
        <v>10000000</v>
      </c>
      <c r="E64" s="2">
        <v>10000000</v>
      </c>
      <c r="F64" s="2">
        <v>50000000</v>
      </c>
      <c r="G64" s="2">
        <v>5000000</v>
      </c>
      <c r="H64" s="2">
        <v>100000000</v>
      </c>
      <c r="I64">
        <v>36</v>
      </c>
      <c r="J64">
        <v>2.3580000000000001</v>
      </c>
      <c r="K64">
        <v>15</v>
      </c>
      <c r="L64">
        <v>3</v>
      </c>
      <c r="M64" t="str">
        <f t="shared" si="0"/>
        <v>NASABAH 39 SMKN 1 PROBOLINGGO</v>
      </c>
      <c r="N64" t="s">
        <v>14</v>
      </c>
      <c r="O64" t="s">
        <v>15</v>
      </c>
      <c r="P64" s="4" t="str">
        <f t="shared" si="3"/>
        <v>36000039</v>
      </c>
      <c r="Q64">
        <v>12345</v>
      </c>
      <c r="R64">
        <v>12345</v>
      </c>
      <c r="S64" t="str">
        <f t="shared" si="2"/>
        <v>NASABAH 39 SMKN 1 PROBOLINGGO</v>
      </c>
    </row>
    <row r="65" spans="1:19" x14ac:dyDescent="0.25">
      <c r="A65" s="3" t="s">
        <v>39</v>
      </c>
      <c r="B65">
        <v>1</v>
      </c>
      <c r="C65" s="2">
        <v>50000000</v>
      </c>
      <c r="D65" s="2">
        <v>10000000</v>
      </c>
      <c r="E65" s="2">
        <v>10000000</v>
      </c>
      <c r="F65" s="2">
        <v>50000000</v>
      </c>
      <c r="G65" s="2">
        <v>5000000</v>
      </c>
      <c r="H65" s="2">
        <v>100000000</v>
      </c>
      <c r="I65">
        <v>36</v>
      </c>
      <c r="J65">
        <v>2.3580000000000001</v>
      </c>
      <c r="K65">
        <v>15</v>
      </c>
      <c r="L65">
        <v>3</v>
      </c>
      <c r="M65" t="str">
        <f t="shared" si="0"/>
        <v>NASABAH 40 SMKN 1 PROBOLINGGO</v>
      </c>
      <c r="N65" t="s">
        <v>14</v>
      </c>
      <c r="O65" t="s">
        <v>15</v>
      </c>
      <c r="P65" s="4" t="str">
        <f t="shared" si="3"/>
        <v>36000040</v>
      </c>
      <c r="Q65">
        <v>12345</v>
      </c>
      <c r="R65">
        <v>12345</v>
      </c>
      <c r="S65" t="str">
        <f t="shared" si="2"/>
        <v>NASABAH 40 SMKN 1 PROBOLINGGO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-</dc:creator>
  <cp:lastModifiedBy>Ernando Januar Pratama</cp:lastModifiedBy>
  <dcterms:created xsi:type="dcterms:W3CDTF">2020-09-25T01:01:22Z</dcterms:created>
  <dcterms:modified xsi:type="dcterms:W3CDTF">2026-04-30T02:05:09Z</dcterms:modified>
</cp:coreProperties>
</file>